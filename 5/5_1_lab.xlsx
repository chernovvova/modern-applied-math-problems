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vac\OneDrive\Desktop\"/>
    </mc:Choice>
  </mc:AlternateContent>
  <xr:revisionPtr revIDLastSave="0" documentId="13_ncr:1_{FDBCB3DE-791C-4B88-AF6F-B47536D54975}" xr6:coauthVersionLast="47" xr6:coauthVersionMax="47" xr10:uidLastSave="{00000000-0000-0000-0000-000000000000}"/>
  <bookViews>
    <workbookView xWindow="-120" yWindow="-120" windowWidth="38640" windowHeight="21120" activeTab="1" xr2:uid="{E0BCDB2B-DC56-4F97-AE42-187B6C023D80}"/>
  </bookViews>
  <sheets>
    <sheet name="5_1" sheetId="1" r:id="rId1"/>
    <sheet name="5_1_дз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1" i="2" l="1"/>
  <c r="F41" i="2"/>
  <c r="G41" i="2"/>
  <c r="H41" i="2"/>
  <c r="I41" i="2"/>
  <c r="J41" i="2"/>
  <c r="K41" i="2"/>
  <c r="L41" i="2"/>
  <c r="M41" i="2"/>
  <c r="N41" i="2"/>
  <c r="O41" i="2"/>
  <c r="P41" i="2"/>
  <c r="D41" i="2"/>
  <c r="E39" i="2"/>
  <c r="F39" i="2"/>
  <c r="G39" i="2"/>
  <c r="H39" i="2"/>
  <c r="I39" i="2"/>
  <c r="J39" i="2"/>
  <c r="K39" i="2"/>
  <c r="L39" i="2"/>
  <c r="M39" i="2"/>
  <c r="N39" i="2"/>
  <c r="O39" i="2"/>
  <c r="P39" i="2"/>
  <c r="D39" i="2"/>
  <c r="E37" i="2"/>
  <c r="F37" i="2"/>
  <c r="G37" i="2"/>
  <c r="H37" i="2"/>
  <c r="I37" i="2"/>
  <c r="J37" i="2"/>
  <c r="K37" i="2"/>
  <c r="L37" i="2"/>
  <c r="M37" i="2"/>
  <c r="N37" i="2"/>
  <c r="O37" i="2"/>
  <c r="P37" i="2"/>
  <c r="D37" i="2"/>
  <c r="E35" i="2"/>
  <c r="F35" i="2"/>
  <c r="G35" i="2"/>
  <c r="H35" i="2"/>
  <c r="I35" i="2"/>
  <c r="J35" i="2"/>
  <c r="K35" i="2"/>
  <c r="L35" i="2"/>
  <c r="M35" i="2"/>
  <c r="N35" i="2"/>
  <c r="O35" i="2"/>
  <c r="P35" i="2"/>
  <c r="D35" i="2"/>
  <c r="E33" i="2"/>
  <c r="F33" i="2"/>
  <c r="G33" i="2"/>
  <c r="H33" i="2"/>
  <c r="I33" i="2"/>
  <c r="J33" i="2"/>
  <c r="K33" i="2"/>
  <c r="L33" i="2"/>
  <c r="M33" i="2"/>
  <c r="N33" i="2"/>
  <c r="O33" i="2"/>
  <c r="P33" i="2"/>
  <c r="D33" i="2"/>
  <c r="D27" i="1"/>
  <c r="E27" i="1"/>
  <c r="F27" i="1"/>
  <c r="G27" i="1"/>
  <c r="H27" i="1"/>
  <c r="I27" i="1"/>
  <c r="J27" i="1"/>
  <c r="C27" i="1"/>
  <c r="D25" i="1"/>
  <c r="E25" i="1"/>
  <c r="F25" i="1"/>
  <c r="G25" i="1"/>
  <c r="H25" i="1"/>
  <c r="I25" i="1"/>
  <c r="J25" i="1"/>
  <c r="C25" i="1"/>
  <c r="D23" i="1"/>
  <c r="E23" i="1"/>
  <c r="F23" i="1"/>
  <c r="G23" i="1"/>
  <c r="H23" i="1"/>
  <c r="I23" i="1"/>
  <c r="J23" i="1"/>
  <c r="C23" i="1"/>
  <c r="D26" i="1"/>
  <c r="E26" i="1"/>
  <c r="F26" i="1"/>
  <c r="G26" i="1"/>
  <c r="H26" i="1"/>
  <c r="I26" i="1"/>
  <c r="J26" i="1"/>
  <c r="C26" i="1"/>
  <c r="F24" i="1"/>
  <c r="E24" i="1"/>
  <c r="D24" i="1"/>
  <c r="G24" i="1"/>
  <c r="H24" i="1"/>
  <c r="I24" i="1"/>
  <c r="J24" i="1"/>
  <c r="C24" i="1"/>
  <c r="D22" i="1"/>
  <c r="E22" i="1"/>
  <c r="F22" i="1"/>
  <c r="G22" i="1"/>
  <c r="H22" i="1"/>
  <c r="I22" i="1"/>
  <c r="J22" i="1"/>
  <c r="C22" i="1"/>
  <c r="E40" i="2"/>
  <c r="F40" i="2"/>
  <c r="G40" i="2"/>
  <c r="H40" i="2"/>
  <c r="I40" i="2"/>
  <c r="J40" i="2"/>
  <c r="K40" i="2"/>
  <c r="L40" i="2"/>
  <c r="M40" i="2"/>
  <c r="N40" i="2"/>
  <c r="O40" i="2"/>
  <c r="P40" i="2"/>
  <c r="D40" i="2"/>
  <c r="E38" i="2"/>
  <c r="F38" i="2"/>
  <c r="G38" i="2"/>
  <c r="H38" i="2"/>
  <c r="I38" i="2"/>
  <c r="J38" i="2"/>
  <c r="K38" i="2"/>
  <c r="L38" i="2"/>
  <c r="M38" i="2"/>
  <c r="N38" i="2"/>
  <c r="O38" i="2"/>
  <c r="P38" i="2"/>
  <c r="D38" i="2"/>
  <c r="E36" i="2"/>
  <c r="F36" i="2"/>
  <c r="G36" i="2"/>
  <c r="H36" i="2"/>
  <c r="I36" i="2"/>
  <c r="J36" i="2"/>
  <c r="K36" i="2"/>
  <c r="L36" i="2"/>
  <c r="M36" i="2"/>
  <c r="N36" i="2"/>
  <c r="O36" i="2"/>
  <c r="P36" i="2"/>
  <c r="D36" i="2"/>
  <c r="E34" i="2"/>
  <c r="F34" i="2"/>
  <c r="G34" i="2"/>
  <c r="H34" i="2"/>
  <c r="I34" i="2"/>
  <c r="J34" i="2"/>
  <c r="K34" i="2"/>
  <c r="L34" i="2"/>
  <c r="M34" i="2"/>
  <c r="N34" i="2"/>
  <c r="O34" i="2"/>
  <c r="P34" i="2"/>
  <c r="D34" i="2"/>
  <c r="E32" i="2"/>
  <c r="F32" i="2"/>
  <c r="G32" i="2"/>
  <c r="H32" i="2"/>
  <c r="I32" i="2"/>
  <c r="J32" i="2"/>
  <c r="K32" i="2"/>
  <c r="L32" i="2"/>
  <c r="M32" i="2"/>
  <c r="N32" i="2"/>
  <c r="O32" i="2"/>
  <c r="P32" i="2"/>
  <c r="D32" i="2"/>
</calcChain>
</file>

<file path=xl/sharedStrings.xml><?xml version="1.0" encoding="utf-8"?>
<sst xmlns="http://schemas.openxmlformats.org/spreadsheetml/2006/main" count="114" uniqueCount="43">
  <si>
    <t>Эксперт 1</t>
  </si>
  <si>
    <t>Эксперт 2</t>
  </si>
  <si>
    <t>Эксперт 3</t>
  </si>
  <si>
    <t>Эксперт 4</t>
  </si>
  <si>
    <t>Эксперт 5</t>
  </si>
  <si>
    <t>Низкий</t>
  </si>
  <si>
    <t>Средний</t>
  </si>
  <si>
    <t>Высокий</t>
  </si>
  <si>
    <t>k</t>
  </si>
  <si>
    <t>термы</t>
  </si>
  <si>
    <t>160-165</t>
  </si>
  <si>
    <t>165-170</t>
  </si>
  <si>
    <t>170-175</t>
  </si>
  <si>
    <t>175-180</t>
  </si>
  <si>
    <t>180-185</t>
  </si>
  <si>
    <t>185-190</t>
  </si>
  <si>
    <t>190-195</t>
  </si>
  <si>
    <t>195-200</t>
  </si>
  <si>
    <t>терм</t>
  </si>
  <si>
    <t>Холодно</t>
  </si>
  <si>
    <t>Прохладно</t>
  </si>
  <si>
    <t>Умеренно</t>
  </si>
  <si>
    <t>Тепло</t>
  </si>
  <si>
    <t>Жарко</t>
  </si>
  <si>
    <t>-20°C — -15°C</t>
  </si>
  <si>
    <t>-15°C — -10°C</t>
  </si>
  <si>
    <t>-10°C — -5°C</t>
  </si>
  <si>
    <t>-5°C —0°C</t>
  </si>
  <si>
    <t>-25°C — -20°C</t>
  </si>
  <si>
    <t>0°C — 5°C</t>
  </si>
  <si>
    <t>5°C — 10°C</t>
  </si>
  <si>
    <t>10°C — 15°C</t>
  </si>
  <si>
    <t>15°C — 20°C</t>
  </si>
  <si>
    <t>20°C — 25°C</t>
  </si>
  <si>
    <t>25°C — 30°C</t>
  </si>
  <si>
    <t>30°C — 35°C</t>
  </si>
  <si>
    <t>35°C — 40°C</t>
  </si>
  <si>
    <t>Количество термов</t>
  </si>
  <si>
    <t>Количество экспертов</t>
  </si>
  <si>
    <t>5</t>
  </si>
  <si>
    <t>Результаты опроса экспертов</t>
  </si>
  <si>
    <t>Результаты обработки экспертных мнений</t>
  </si>
  <si>
    <t>Перменная "Температура на улице", термы - "холодно", "прохладно", "умеренно", "тепло", "жарко".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</si>
</sst>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2" xfId="0" applyBorder="1"/>
    <xf numFmtId="49" fontId="0" fillId="0" borderId="0" xfId="0" applyNumberFormat="1"/>
    <xf numFmtId="0" fontId="0" fillId="0" borderId="2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0" fillId="0" borderId="23" xfId="0" applyNumberFormat="1" applyBorder="1" applyAlignment="1">
      <alignment horizontal="center"/>
    </xf>
    <xf numFmtId="49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49" fontId="0" fillId="0" borderId="22" xfId="0" applyNumberForma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6" xfId="0" applyBorder="1"/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072892738915618E-2"/>
          <c:y val="6.9135820390997152E-2"/>
          <c:w val="0.92798418339942634"/>
          <c:h val="0.77918221164115531"/>
        </c:manualLayout>
      </c:layout>
      <c:lineChart>
        <c:grouping val="standard"/>
        <c:varyColors val="0"/>
        <c:ser>
          <c:idx val="0"/>
          <c:order val="0"/>
          <c:tx>
            <c:v>Низкий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'5_1'!$C$21:$J$21</c:f>
              <c:strCache>
                <c:ptCount val="8"/>
                <c:pt idx="0">
                  <c:v>160-165</c:v>
                </c:pt>
                <c:pt idx="1">
                  <c:v>165-170</c:v>
                </c:pt>
                <c:pt idx="2">
                  <c:v>170-175</c:v>
                </c:pt>
                <c:pt idx="3">
                  <c:v>175-180</c:v>
                </c:pt>
                <c:pt idx="4">
                  <c:v>180-185</c:v>
                </c:pt>
                <c:pt idx="5">
                  <c:v>185-190</c:v>
                </c:pt>
                <c:pt idx="6">
                  <c:v>190-195</c:v>
                </c:pt>
                <c:pt idx="7">
                  <c:v>195-200</c:v>
                </c:pt>
              </c:strCache>
            </c:strRef>
          </c:cat>
          <c:val>
            <c:numRef>
              <c:f>'5_1'!$C$23:$J$23</c:f>
              <c:numCache>
                <c:formatCode>General</c:formatCode>
                <c:ptCount val="8"/>
                <c:pt idx="0">
                  <c:v>1</c:v>
                </c:pt>
                <c:pt idx="1">
                  <c:v>0.8</c:v>
                </c:pt>
                <c:pt idx="2">
                  <c:v>0.6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F4-41C7-B95C-B0023459B57D}"/>
            </c:ext>
          </c:extLst>
        </c:ser>
        <c:ser>
          <c:idx val="1"/>
          <c:order val="1"/>
          <c:tx>
            <c:v>Средний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'5_1'!$C$21:$J$21</c:f>
              <c:strCache>
                <c:ptCount val="8"/>
                <c:pt idx="0">
                  <c:v>160-165</c:v>
                </c:pt>
                <c:pt idx="1">
                  <c:v>165-170</c:v>
                </c:pt>
                <c:pt idx="2">
                  <c:v>170-175</c:v>
                </c:pt>
                <c:pt idx="3">
                  <c:v>175-180</c:v>
                </c:pt>
                <c:pt idx="4">
                  <c:v>180-185</c:v>
                </c:pt>
                <c:pt idx="5">
                  <c:v>185-190</c:v>
                </c:pt>
                <c:pt idx="6">
                  <c:v>190-195</c:v>
                </c:pt>
                <c:pt idx="7">
                  <c:v>195-200</c:v>
                </c:pt>
              </c:strCache>
            </c:strRef>
          </c:cat>
          <c:val>
            <c:numRef>
              <c:f>'5_1'!$C$25:$J$25</c:f>
              <c:numCache>
                <c:formatCode>General</c:formatCode>
                <c:ptCount val="8"/>
                <c:pt idx="0">
                  <c:v>0</c:v>
                </c:pt>
                <c:pt idx="1">
                  <c:v>0.4</c:v>
                </c:pt>
                <c:pt idx="2">
                  <c:v>0.8</c:v>
                </c:pt>
                <c:pt idx="3">
                  <c:v>1</c:v>
                </c:pt>
                <c:pt idx="4">
                  <c:v>0.6</c:v>
                </c:pt>
                <c:pt idx="5">
                  <c:v>0.4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F4-41C7-B95C-B0023459B57D}"/>
            </c:ext>
          </c:extLst>
        </c:ser>
        <c:ser>
          <c:idx val="2"/>
          <c:order val="2"/>
          <c:tx>
            <c:v>Высокий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'5_1'!$C$21:$J$21</c:f>
              <c:strCache>
                <c:ptCount val="8"/>
                <c:pt idx="0">
                  <c:v>160-165</c:v>
                </c:pt>
                <c:pt idx="1">
                  <c:v>165-170</c:v>
                </c:pt>
                <c:pt idx="2">
                  <c:v>170-175</c:v>
                </c:pt>
                <c:pt idx="3">
                  <c:v>175-180</c:v>
                </c:pt>
                <c:pt idx="4">
                  <c:v>180-185</c:v>
                </c:pt>
                <c:pt idx="5">
                  <c:v>185-190</c:v>
                </c:pt>
                <c:pt idx="6">
                  <c:v>190-195</c:v>
                </c:pt>
                <c:pt idx="7">
                  <c:v>195-200</c:v>
                </c:pt>
              </c:strCache>
            </c:strRef>
          </c:cat>
          <c:val>
            <c:numRef>
              <c:f>'5_1'!$C$27:$J$27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</c:v>
                </c:pt>
                <c:pt idx="4">
                  <c:v>0.4</c:v>
                </c:pt>
                <c:pt idx="5">
                  <c:v>0.8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8F4-41C7-B95C-B0023459B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033951"/>
        <c:axId val="106034911"/>
      </c:lineChart>
      <c:catAx>
        <c:axId val="106033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6034911"/>
        <c:crosses val="autoZero"/>
        <c:auto val="1"/>
        <c:lblAlgn val="ctr"/>
        <c:lblOffset val="100"/>
        <c:noMultiLvlLbl val="0"/>
      </c:catAx>
      <c:valAx>
        <c:axId val="10603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603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Холодно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'5_1_дз'!$D$31:$P$31</c:f>
              <c:strCache>
                <c:ptCount val="13"/>
                <c:pt idx="0">
                  <c:v>-25°C — -20°C</c:v>
                </c:pt>
                <c:pt idx="1">
                  <c:v>-20°C — -15°C</c:v>
                </c:pt>
                <c:pt idx="2">
                  <c:v>-15°C — -10°C</c:v>
                </c:pt>
                <c:pt idx="3">
                  <c:v>-10°C — -5°C</c:v>
                </c:pt>
                <c:pt idx="4">
                  <c:v>-5°C —0°C</c:v>
                </c:pt>
                <c:pt idx="5">
                  <c:v>0°C — 5°C</c:v>
                </c:pt>
                <c:pt idx="6">
                  <c:v>5°C — 10°C</c:v>
                </c:pt>
                <c:pt idx="7">
                  <c:v>10°C — 15°C</c:v>
                </c:pt>
                <c:pt idx="8">
                  <c:v>15°C — 20°C</c:v>
                </c:pt>
                <c:pt idx="9">
                  <c:v>20°C — 25°C</c:v>
                </c:pt>
                <c:pt idx="10">
                  <c:v>25°C — 30°C</c:v>
                </c:pt>
                <c:pt idx="11">
                  <c:v>30°C — 35°C</c:v>
                </c:pt>
                <c:pt idx="12">
                  <c:v>35°C — 40°C</c:v>
                </c:pt>
              </c:strCache>
            </c:strRef>
          </c:cat>
          <c:val>
            <c:numRef>
              <c:f>'5_1_дз'!$D$33:$P$33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0.8</c:v>
                </c:pt>
                <c:pt idx="4">
                  <c:v>0.4</c:v>
                </c:pt>
                <c:pt idx="5">
                  <c:v>0.2</c:v>
                </c:pt>
                <c:pt idx="6">
                  <c:v>0.2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0F6-4C0D-9F93-8256961032D2}"/>
            </c:ext>
          </c:extLst>
        </c:ser>
        <c:ser>
          <c:idx val="1"/>
          <c:order val="1"/>
          <c:tx>
            <c:v>Прохладно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'5_1_дз'!$D$31:$P$31</c:f>
              <c:strCache>
                <c:ptCount val="13"/>
                <c:pt idx="0">
                  <c:v>-25°C — -20°C</c:v>
                </c:pt>
                <c:pt idx="1">
                  <c:v>-20°C — -15°C</c:v>
                </c:pt>
                <c:pt idx="2">
                  <c:v>-15°C — -10°C</c:v>
                </c:pt>
                <c:pt idx="3">
                  <c:v>-10°C — -5°C</c:v>
                </c:pt>
                <c:pt idx="4">
                  <c:v>-5°C —0°C</c:v>
                </c:pt>
                <c:pt idx="5">
                  <c:v>0°C — 5°C</c:v>
                </c:pt>
                <c:pt idx="6">
                  <c:v>5°C — 10°C</c:v>
                </c:pt>
                <c:pt idx="7">
                  <c:v>10°C — 15°C</c:v>
                </c:pt>
                <c:pt idx="8">
                  <c:v>15°C — 20°C</c:v>
                </c:pt>
                <c:pt idx="9">
                  <c:v>20°C — 25°C</c:v>
                </c:pt>
                <c:pt idx="10">
                  <c:v>25°C — 30°C</c:v>
                </c:pt>
                <c:pt idx="11">
                  <c:v>30°C — 35°C</c:v>
                </c:pt>
                <c:pt idx="12">
                  <c:v>35°C — 40°C</c:v>
                </c:pt>
              </c:strCache>
            </c:strRef>
          </c:cat>
          <c:val>
            <c:numRef>
              <c:f>'5_1_дз'!$D$35:$P$35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</c:v>
                </c:pt>
                <c:pt idx="4">
                  <c:v>0.6</c:v>
                </c:pt>
                <c:pt idx="5">
                  <c:v>0.8</c:v>
                </c:pt>
                <c:pt idx="6">
                  <c:v>0.6</c:v>
                </c:pt>
                <c:pt idx="7">
                  <c:v>0.2</c:v>
                </c:pt>
                <c:pt idx="8">
                  <c:v>0.2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0F6-4C0D-9F93-8256961032D2}"/>
            </c:ext>
          </c:extLst>
        </c:ser>
        <c:ser>
          <c:idx val="2"/>
          <c:order val="2"/>
          <c:tx>
            <c:v>Умеренно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'5_1_дз'!$D$31:$P$31</c:f>
              <c:strCache>
                <c:ptCount val="13"/>
                <c:pt idx="0">
                  <c:v>-25°C — -20°C</c:v>
                </c:pt>
                <c:pt idx="1">
                  <c:v>-20°C — -15°C</c:v>
                </c:pt>
                <c:pt idx="2">
                  <c:v>-15°C — -10°C</c:v>
                </c:pt>
                <c:pt idx="3">
                  <c:v>-10°C — -5°C</c:v>
                </c:pt>
                <c:pt idx="4">
                  <c:v>-5°C —0°C</c:v>
                </c:pt>
                <c:pt idx="5">
                  <c:v>0°C — 5°C</c:v>
                </c:pt>
                <c:pt idx="6">
                  <c:v>5°C — 10°C</c:v>
                </c:pt>
                <c:pt idx="7">
                  <c:v>10°C — 15°C</c:v>
                </c:pt>
                <c:pt idx="8">
                  <c:v>15°C — 20°C</c:v>
                </c:pt>
                <c:pt idx="9">
                  <c:v>20°C — 25°C</c:v>
                </c:pt>
                <c:pt idx="10">
                  <c:v>25°C — 30°C</c:v>
                </c:pt>
                <c:pt idx="11">
                  <c:v>30°C — 35°C</c:v>
                </c:pt>
                <c:pt idx="12">
                  <c:v>35°C — 40°C</c:v>
                </c:pt>
              </c:strCache>
            </c:strRef>
          </c:cat>
          <c:val>
            <c:numRef>
              <c:f>'5_1_дз'!$D$37:$P$37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0.4</c:v>
                </c:pt>
                <c:pt idx="7">
                  <c:v>0.8</c:v>
                </c:pt>
                <c:pt idx="8">
                  <c:v>0.6</c:v>
                </c:pt>
                <c:pt idx="9">
                  <c:v>0.6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0F6-4C0D-9F93-8256961032D2}"/>
            </c:ext>
          </c:extLst>
        </c:ser>
        <c:ser>
          <c:idx val="3"/>
          <c:order val="3"/>
          <c:tx>
            <c:v>Тепло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'5_1_дз'!$D$31:$P$31</c:f>
              <c:strCache>
                <c:ptCount val="13"/>
                <c:pt idx="0">
                  <c:v>-25°C — -20°C</c:v>
                </c:pt>
                <c:pt idx="1">
                  <c:v>-20°C — -15°C</c:v>
                </c:pt>
                <c:pt idx="2">
                  <c:v>-15°C — -10°C</c:v>
                </c:pt>
                <c:pt idx="3">
                  <c:v>-10°C — -5°C</c:v>
                </c:pt>
                <c:pt idx="4">
                  <c:v>-5°C —0°C</c:v>
                </c:pt>
                <c:pt idx="5">
                  <c:v>0°C — 5°C</c:v>
                </c:pt>
                <c:pt idx="6">
                  <c:v>5°C — 10°C</c:v>
                </c:pt>
                <c:pt idx="7">
                  <c:v>10°C — 15°C</c:v>
                </c:pt>
                <c:pt idx="8">
                  <c:v>15°C — 20°C</c:v>
                </c:pt>
                <c:pt idx="9">
                  <c:v>20°C — 25°C</c:v>
                </c:pt>
                <c:pt idx="10">
                  <c:v>25°C — 30°C</c:v>
                </c:pt>
                <c:pt idx="11">
                  <c:v>30°C — 35°C</c:v>
                </c:pt>
                <c:pt idx="12">
                  <c:v>35°C — 40°C</c:v>
                </c:pt>
              </c:strCache>
            </c:strRef>
          </c:cat>
          <c:val>
            <c:numRef>
              <c:f>'5_1_дз'!$D$39:$P$39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0.6</c:v>
                </c:pt>
                <c:pt idx="9">
                  <c:v>1</c:v>
                </c:pt>
                <c:pt idx="10">
                  <c:v>0.8</c:v>
                </c:pt>
                <c:pt idx="11">
                  <c:v>0.2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0F6-4C0D-9F93-8256961032D2}"/>
            </c:ext>
          </c:extLst>
        </c:ser>
        <c:ser>
          <c:idx val="4"/>
          <c:order val="4"/>
          <c:tx>
            <c:v>Жарко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'5_1_дз'!$D$31:$P$31</c:f>
              <c:strCache>
                <c:ptCount val="13"/>
                <c:pt idx="0">
                  <c:v>-25°C — -20°C</c:v>
                </c:pt>
                <c:pt idx="1">
                  <c:v>-20°C — -15°C</c:v>
                </c:pt>
                <c:pt idx="2">
                  <c:v>-15°C — -10°C</c:v>
                </c:pt>
                <c:pt idx="3">
                  <c:v>-10°C — -5°C</c:v>
                </c:pt>
                <c:pt idx="4">
                  <c:v>-5°C —0°C</c:v>
                </c:pt>
                <c:pt idx="5">
                  <c:v>0°C — 5°C</c:v>
                </c:pt>
                <c:pt idx="6">
                  <c:v>5°C — 10°C</c:v>
                </c:pt>
                <c:pt idx="7">
                  <c:v>10°C — 15°C</c:v>
                </c:pt>
                <c:pt idx="8">
                  <c:v>15°C — 20°C</c:v>
                </c:pt>
                <c:pt idx="9">
                  <c:v>20°C — 25°C</c:v>
                </c:pt>
                <c:pt idx="10">
                  <c:v>25°C — 30°C</c:v>
                </c:pt>
                <c:pt idx="11">
                  <c:v>30°C — 35°C</c:v>
                </c:pt>
                <c:pt idx="12">
                  <c:v>35°C — 40°C</c:v>
                </c:pt>
              </c:strCache>
            </c:strRef>
          </c:cat>
          <c:val>
            <c:numRef>
              <c:f>'5_1_дз'!$D$41:$P$41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0.4</c:v>
                </c:pt>
                <c:pt idx="11">
                  <c:v>0.8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0F6-4C0D-9F93-825696103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0445360"/>
        <c:axId val="270446800"/>
      </c:lineChart>
      <c:catAx>
        <c:axId val="27044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0446800"/>
        <c:crosses val="autoZero"/>
        <c:auto val="1"/>
        <c:lblAlgn val="ctr"/>
        <c:lblOffset val="100"/>
        <c:noMultiLvlLbl val="0"/>
      </c:catAx>
      <c:valAx>
        <c:axId val="27044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0445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466725</xdr:colOff>
      <xdr:row>9</xdr:row>
      <xdr:rowOff>152400</xdr:rowOff>
    </xdr:from>
    <xdr:to>
      <xdr:col>20</xdr:col>
      <xdr:colOff>523875</xdr:colOff>
      <xdr:row>31</xdr:row>
      <xdr:rowOff>123825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B57A050-321D-4B26-067D-19F7BDBC7F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28574</xdr:colOff>
      <xdr:row>42</xdr:row>
      <xdr:rowOff>57149</xdr:rowOff>
    </xdr:from>
    <xdr:to>
      <xdr:col>14</xdr:col>
      <xdr:colOff>361950</xdr:colOff>
      <xdr:row>60</xdr:row>
      <xdr:rowOff>123824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6A0ACAF-4E95-32D0-67E3-28AD87AB22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222CF-5B7E-41B3-AD87-CF58F7168462}">
  <dimension ref="B1:N27"/>
  <sheetViews>
    <sheetView workbookViewId="0">
      <selection activeCell="M41" sqref="M41"/>
    </sheetView>
  </sheetViews>
  <sheetFormatPr defaultRowHeight="15" x14ac:dyDescent="0.25"/>
  <cols>
    <col min="2" max="3" width="11.85546875" customWidth="1"/>
    <col min="13" max="13" width="24.42578125" customWidth="1"/>
  </cols>
  <sheetData>
    <row r="1" spans="2:14" ht="15.75" thickBot="1" x14ac:dyDescent="0.3">
      <c r="B1" s="10" t="s">
        <v>8</v>
      </c>
      <c r="C1" s="11" t="s">
        <v>9</v>
      </c>
      <c r="D1" s="11" t="s">
        <v>10</v>
      </c>
      <c r="E1" s="11" t="s">
        <v>11</v>
      </c>
      <c r="F1" s="11" t="s">
        <v>12</v>
      </c>
      <c r="G1" s="11" t="s">
        <v>13</v>
      </c>
      <c r="H1" s="11" t="s">
        <v>14</v>
      </c>
      <c r="I1" s="11" t="s">
        <v>15</v>
      </c>
      <c r="J1" s="11" t="s">
        <v>16</v>
      </c>
      <c r="K1" s="12" t="s">
        <v>17</v>
      </c>
      <c r="M1" s="1" t="s">
        <v>37</v>
      </c>
      <c r="N1" s="1">
        <v>3</v>
      </c>
    </row>
    <row r="2" spans="2:14" ht="15" customHeight="1" x14ac:dyDescent="0.25">
      <c r="B2" s="22" t="s">
        <v>0</v>
      </c>
      <c r="C2" s="16" t="s">
        <v>5</v>
      </c>
      <c r="D2" s="13">
        <v>1</v>
      </c>
      <c r="E2" s="3">
        <v>1</v>
      </c>
      <c r="F2" s="3">
        <v>1</v>
      </c>
      <c r="G2" s="3">
        <v>0</v>
      </c>
      <c r="H2" s="3">
        <v>0</v>
      </c>
      <c r="I2" s="3">
        <v>0</v>
      </c>
      <c r="J2" s="3">
        <v>0</v>
      </c>
      <c r="K2" s="4">
        <v>0</v>
      </c>
      <c r="M2" s="1" t="s">
        <v>38</v>
      </c>
      <c r="N2" s="1">
        <v>5</v>
      </c>
    </row>
    <row r="3" spans="2:14" ht="15.75" customHeight="1" x14ac:dyDescent="0.25">
      <c r="B3" s="24"/>
      <c r="C3" s="17" t="s">
        <v>6</v>
      </c>
      <c r="D3" s="14">
        <v>0</v>
      </c>
      <c r="E3" s="1">
        <v>0</v>
      </c>
      <c r="F3" s="1">
        <v>1</v>
      </c>
      <c r="G3" s="1">
        <v>1</v>
      </c>
      <c r="H3" s="1">
        <v>1</v>
      </c>
      <c r="I3" s="1">
        <v>0</v>
      </c>
      <c r="J3" s="1">
        <v>0</v>
      </c>
      <c r="K3" s="6">
        <v>0</v>
      </c>
    </row>
    <row r="4" spans="2:14" ht="15.75" customHeight="1" thickBot="1" x14ac:dyDescent="0.3">
      <c r="B4" s="23"/>
      <c r="C4" s="18" t="s">
        <v>7</v>
      </c>
      <c r="D4" s="15">
        <v>0</v>
      </c>
      <c r="E4" s="8">
        <v>0</v>
      </c>
      <c r="F4" s="8">
        <v>0</v>
      </c>
      <c r="G4" s="8">
        <v>0</v>
      </c>
      <c r="H4" s="8">
        <v>0</v>
      </c>
      <c r="I4" s="8">
        <v>1</v>
      </c>
      <c r="J4" s="8">
        <v>1</v>
      </c>
      <c r="K4" s="9">
        <v>1</v>
      </c>
    </row>
    <row r="5" spans="2:14" ht="15.75" customHeight="1" x14ac:dyDescent="0.25">
      <c r="B5" s="22" t="s">
        <v>1</v>
      </c>
      <c r="C5" s="16" t="s">
        <v>5</v>
      </c>
      <c r="D5" s="13">
        <v>1</v>
      </c>
      <c r="E5" s="3">
        <v>1</v>
      </c>
      <c r="F5" s="3">
        <v>1</v>
      </c>
      <c r="G5" s="3">
        <v>0</v>
      </c>
      <c r="H5" s="3">
        <v>0</v>
      </c>
      <c r="I5" s="3">
        <v>0</v>
      </c>
      <c r="J5" s="3">
        <v>0</v>
      </c>
      <c r="K5" s="4">
        <v>0</v>
      </c>
    </row>
    <row r="6" spans="2:14" ht="15" customHeight="1" x14ac:dyDescent="0.25">
      <c r="B6" s="24"/>
      <c r="C6" s="17" t="s">
        <v>6</v>
      </c>
      <c r="D6" s="14">
        <v>0</v>
      </c>
      <c r="E6" s="1">
        <v>0</v>
      </c>
      <c r="F6" s="1">
        <v>1</v>
      </c>
      <c r="G6" s="1">
        <v>1</v>
      </c>
      <c r="H6" s="1">
        <v>0</v>
      </c>
      <c r="I6" s="1">
        <v>0</v>
      </c>
      <c r="J6" s="1">
        <v>0</v>
      </c>
      <c r="K6" s="6">
        <v>0</v>
      </c>
    </row>
    <row r="7" spans="2:14" ht="15.75" customHeight="1" thickBot="1" x14ac:dyDescent="0.3">
      <c r="B7" s="23"/>
      <c r="C7" s="18" t="s">
        <v>7</v>
      </c>
      <c r="D7" s="15">
        <v>0</v>
      </c>
      <c r="E7" s="8">
        <v>0</v>
      </c>
      <c r="F7" s="8">
        <v>0</v>
      </c>
      <c r="G7" s="8">
        <v>0</v>
      </c>
      <c r="H7" s="8">
        <v>1</v>
      </c>
      <c r="I7" s="8">
        <v>1</v>
      </c>
      <c r="J7" s="8">
        <v>1</v>
      </c>
      <c r="K7" s="9">
        <v>1</v>
      </c>
    </row>
    <row r="8" spans="2:14" ht="15" customHeight="1" x14ac:dyDescent="0.25">
      <c r="B8" s="22" t="s">
        <v>2</v>
      </c>
      <c r="C8" s="16" t="s">
        <v>5</v>
      </c>
      <c r="D8" s="13">
        <v>1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4">
        <v>0</v>
      </c>
    </row>
    <row r="9" spans="2:14" ht="15.75" customHeight="1" x14ac:dyDescent="0.25">
      <c r="B9" s="24"/>
      <c r="C9" s="17" t="s">
        <v>6</v>
      </c>
      <c r="D9" s="14">
        <v>0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0</v>
      </c>
      <c r="K9" s="6">
        <v>0</v>
      </c>
    </row>
    <row r="10" spans="2:14" ht="15" customHeight="1" thickBot="1" x14ac:dyDescent="0.3">
      <c r="B10" s="23"/>
      <c r="C10" s="18" t="s">
        <v>7</v>
      </c>
      <c r="D10" s="15">
        <v>0</v>
      </c>
      <c r="E10" s="8">
        <v>0</v>
      </c>
      <c r="F10" s="8">
        <v>0</v>
      </c>
      <c r="G10" s="8">
        <v>0</v>
      </c>
      <c r="H10" s="8">
        <v>0</v>
      </c>
      <c r="I10" s="8">
        <v>1</v>
      </c>
      <c r="J10" s="8">
        <v>1</v>
      </c>
      <c r="K10" s="9">
        <v>1</v>
      </c>
    </row>
    <row r="11" spans="2:14" ht="15.75" customHeight="1" x14ac:dyDescent="0.25">
      <c r="B11" s="22" t="s">
        <v>3</v>
      </c>
      <c r="C11" s="16" t="s">
        <v>5</v>
      </c>
      <c r="D11" s="13">
        <v>1</v>
      </c>
      <c r="E11" s="3">
        <v>1</v>
      </c>
      <c r="F11" s="3">
        <v>1</v>
      </c>
      <c r="G11" s="3">
        <v>0</v>
      </c>
      <c r="H11" s="3">
        <v>0</v>
      </c>
      <c r="I11" s="3">
        <v>0</v>
      </c>
      <c r="J11" s="3">
        <v>0</v>
      </c>
      <c r="K11" s="4">
        <v>0</v>
      </c>
    </row>
    <row r="12" spans="2:14" ht="15" customHeight="1" x14ac:dyDescent="0.25">
      <c r="B12" s="24"/>
      <c r="C12" s="17" t="s">
        <v>6</v>
      </c>
      <c r="D12" s="14">
        <v>0</v>
      </c>
      <c r="E12" s="1">
        <v>0</v>
      </c>
      <c r="F12" s="1">
        <v>0</v>
      </c>
      <c r="G12" s="1">
        <v>1</v>
      </c>
      <c r="H12" s="1">
        <v>1</v>
      </c>
      <c r="I12" s="1">
        <v>1</v>
      </c>
      <c r="J12" s="1">
        <v>0</v>
      </c>
      <c r="K12" s="6">
        <v>0</v>
      </c>
    </row>
    <row r="13" spans="2:14" ht="15.75" customHeight="1" thickBot="1" x14ac:dyDescent="0.3">
      <c r="B13" s="23"/>
      <c r="C13" s="18" t="s">
        <v>7</v>
      </c>
      <c r="D13" s="15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1</v>
      </c>
      <c r="K13" s="9">
        <v>1</v>
      </c>
    </row>
    <row r="14" spans="2:14" ht="15" customHeight="1" x14ac:dyDescent="0.25">
      <c r="B14" s="22" t="s">
        <v>4</v>
      </c>
      <c r="C14" s="16" t="s">
        <v>5</v>
      </c>
      <c r="D14" s="13">
        <v>1</v>
      </c>
      <c r="E14" s="3">
        <v>1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4">
        <v>0</v>
      </c>
    </row>
    <row r="15" spans="2:14" ht="15.75" customHeight="1" x14ac:dyDescent="0.25">
      <c r="B15" s="24"/>
      <c r="C15" s="17" t="s">
        <v>6</v>
      </c>
      <c r="D15" s="14">
        <v>0</v>
      </c>
      <c r="E15" s="1">
        <v>1</v>
      </c>
      <c r="F15" s="1">
        <v>1</v>
      </c>
      <c r="G15" s="1">
        <v>1</v>
      </c>
      <c r="H15" s="1">
        <v>0</v>
      </c>
      <c r="I15" s="1">
        <v>0</v>
      </c>
      <c r="J15" s="1">
        <v>0</v>
      </c>
      <c r="K15" s="6">
        <v>0</v>
      </c>
    </row>
    <row r="16" spans="2:14" ht="15" customHeight="1" thickBot="1" x14ac:dyDescent="0.3">
      <c r="B16" s="23"/>
      <c r="C16" s="18" t="s">
        <v>7</v>
      </c>
      <c r="D16" s="15">
        <v>0</v>
      </c>
      <c r="E16" s="8">
        <v>0</v>
      </c>
      <c r="F16" s="8">
        <v>0</v>
      </c>
      <c r="G16" s="8">
        <v>1</v>
      </c>
      <c r="H16" s="8">
        <v>1</v>
      </c>
      <c r="I16" s="8">
        <v>1</v>
      </c>
      <c r="J16" s="8">
        <v>1</v>
      </c>
      <c r="K16" s="9">
        <v>1</v>
      </c>
    </row>
    <row r="20" spans="2:10" ht="15.75" thickBot="1" x14ac:dyDescent="0.3"/>
    <row r="21" spans="2:10" ht="15.75" thickBot="1" x14ac:dyDescent="0.3">
      <c r="B21" s="19" t="s">
        <v>9</v>
      </c>
      <c r="C21" s="19" t="s">
        <v>10</v>
      </c>
      <c r="D21" s="19" t="s">
        <v>11</v>
      </c>
      <c r="E21" s="19" t="s">
        <v>12</v>
      </c>
      <c r="F21" s="19" t="s">
        <v>13</v>
      </c>
      <c r="G21" s="19" t="s">
        <v>14</v>
      </c>
      <c r="H21" s="19" t="s">
        <v>15</v>
      </c>
      <c r="I21" s="19" t="s">
        <v>16</v>
      </c>
      <c r="J21" s="19" t="s">
        <v>17</v>
      </c>
    </row>
    <row r="22" spans="2:10" x14ac:dyDescent="0.25">
      <c r="B22" s="22" t="s">
        <v>5</v>
      </c>
      <c r="C22" s="2">
        <f>D2+D5+D8+D11+D14</f>
        <v>5</v>
      </c>
      <c r="D22" s="2">
        <f t="shared" ref="D22:J22" si="0">E2+E5+E8+E11+E14</f>
        <v>4</v>
      </c>
      <c r="E22" s="2">
        <f t="shared" si="0"/>
        <v>3</v>
      </c>
      <c r="F22" s="2">
        <f t="shared" si="0"/>
        <v>0</v>
      </c>
      <c r="G22" s="2">
        <f t="shared" si="0"/>
        <v>0</v>
      </c>
      <c r="H22" s="2">
        <f t="shared" si="0"/>
        <v>0</v>
      </c>
      <c r="I22" s="2">
        <f t="shared" si="0"/>
        <v>0</v>
      </c>
      <c r="J22" s="2">
        <f t="shared" si="0"/>
        <v>0</v>
      </c>
    </row>
    <row r="23" spans="2:10" ht="15.75" thickBot="1" x14ac:dyDescent="0.3">
      <c r="B23" s="23"/>
      <c r="C23" s="7">
        <f>C22/$N$2</f>
        <v>1</v>
      </c>
      <c r="D23" s="7">
        <f t="shared" ref="D23:J23" si="1">D22/$N$2</f>
        <v>0.8</v>
      </c>
      <c r="E23" s="7">
        <f t="shared" si="1"/>
        <v>0.6</v>
      </c>
      <c r="F23" s="7">
        <f t="shared" si="1"/>
        <v>0</v>
      </c>
      <c r="G23" s="7">
        <f t="shared" si="1"/>
        <v>0</v>
      </c>
      <c r="H23" s="7">
        <f t="shared" si="1"/>
        <v>0</v>
      </c>
      <c r="I23" s="7">
        <f t="shared" si="1"/>
        <v>0</v>
      </c>
      <c r="J23" s="7">
        <f t="shared" si="1"/>
        <v>0</v>
      </c>
    </row>
    <row r="24" spans="2:10" x14ac:dyDescent="0.25">
      <c r="B24" s="22" t="s">
        <v>6</v>
      </c>
      <c r="C24" s="2">
        <f>D3+D6+D9+D12+D15</f>
        <v>0</v>
      </c>
      <c r="D24" s="2">
        <f>E3+E6+E9+E12+E15</f>
        <v>2</v>
      </c>
      <c r="E24" s="2">
        <f>F3+F6+F9+F12+F15</f>
        <v>4</v>
      </c>
      <c r="F24" s="2">
        <f>G3+G6+G9+G12+G15</f>
        <v>5</v>
      </c>
      <c r="G24" s="2">
        <f t="shared" ref="D24:J24" si="2">H3+H6+H9+H12+H15</f>
        <v>3</v>
      </c>
      <c r="H24" s="2">
        <f t="shared" si="2"/>
        <v>2</v>
      </c>
      <c r="I24" s="2">
        <f t="shared" si="2"/>
        <v>0</v>
      </c>
      <c r="J24" s="2">
        <f t="shared" si="2"/>
        <v>0</v>
      </c>
    </row>
    <row r="25" spans="2:10" ht="15.75" thickBot="1" x14ac:dyDescent="0.3">
      <c r="B25" s="23"/>
      <c r="C25" s="7">
        <f>C24/$N$2</f>
        <v>0</v>
      </c>
      <c r="D25" s="7">
        <f t="shared" ref="D25:J25" si="3">D24/$N$2</f>
        <v>0.4</v>
      </c>
      <c r="E25" s="7">
        <f t="shared" si="3"/>
        <v>0.8</v>
      </c>
      <c r="F25" s="7">
        <f t="shared" si="3"/>
        <v>1</v>
      </c>
      <c r="G25" s="7">
        <f t="shared" si="3"/>
        <v>0.6</v>
      </c>
      <c r="H25" s="7">
        <f t="shared" si="3"/>
        <v>0.4</v>
      </c>
      <c r="I25" s="7">
        <f t="shared" si="3"/>
        <v>0</v>
      </c>
      <c r="J25" s="7">
        <f t="shared" si="3"/>
        <v>0</v>
      </c>
    </row>
    <row r="26" spans="2:10" x14ac:dyDescent="0.25">
      <c r="B26" s="22" t="s">
        <v>7</v>
      </c>
      <c r="C26" s="2">
        <f>D4+D7+D10+D13+D16</f>
        <v>0</v>
      </c>
      <c r="D26" s="2">
        <f t="shared" ref="D26:J26" si="4">E4+E7+E10+E13+E16</f>
        <v>0</v>
      </c>
      <c r="E26" s="2">
        <f t="shared" si="4"/>
        <v>0</v>
      </c>
      <c r="F26" s="2">
        <f t="shared" si="4"/>
        <v>1</v>
      </c>
      <c r="G26" s="2">
        <f t="shared" si="4"/>
        <v>2</v>
      </c>
      <c r="H26" s="2">
        <f t="shared" si="4"/>
        <v>4</v>
      </c>
      <c r="I26" s="2">
        <f t="shared" si="4"/>
        <v>5</v>
      </c>
      <c r="J26" s="2">
        <f t="shared" si="4"/>
        <v>5</v>
      </c>
    </row>
    <row r="27" spans="2:10" ht="15.75" thickBot="1" x14ac:dyDescent="0.3">
      <c r="B27" s="23"/>
      <c r="C27" s="7">
        <f>C26/$N$2</f>
        <v>0</v>
      </c>
      <c r="D27" s="7">
        <f t="shared" ref="D27:J27" si="5">D26/$N$2</f>
        <v>0</v>
      </c>
      <c r="E27" s="7">
        <f t="shared" si="5"/>
        <v>0</v>
      </c>
      <c r="F27" s="7">
        <f t="shared" si="5"/>
        <v>0.2</v>
      </c>
      <c r="G27" s="7">
        <f t="shared" si="5"/>
        <v>0.4</v>
      </c>
      <c r="H27" s="7">
        <f t="shared" si="5"/>
        <v>0.8</v>
      </c>
      <c r="I27" s="7">
        <f t="shared" si="5"/>
        <v>1</v>
      </c>
      <c r="J27" s="7">
        <f t="shared" si="5"/>
        <v>1</v>
      </c>
    </row>
  </sheetData>
  <mergeCells count="8">
    <mergeCell ref="B22:B23"/>
    <mergeCell ref="B24:B25"/>
    <mergeCell ref="B26:B27"/>
    <mergeCell ref="B2:B4"/>
    <mergeCell ref="B5:B7"/>
    <mergeCell ref="B8:B10"/>
    <mergeCell ref="B11:B13"/>
    <mergeCell ref="B14:B16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3888-4E7A-41EC-B954-67E67B1399DA}">
  <dimension ref="B1:Y41"/>
  <sheetViews>
    <sheetView tabSelected="1" topLeftCell="B25" zoomScaleNormal="100" workbookViewId="0">
      <selection activeCell="S22" sqref="S22"/>
    </sheetView>
  </sheetViews>
  <sheetFormatPr defaultRowHeight="15" x14ac:dyDescent="0.25"/>
  <cols>
    <col min="1" max="1" width="9.28515625" customWidth="1"/>
    <col min="2" max="2" width="17.140625" customWidth="1"/>
    <col min="3" max="3" width="11.85546875" customWidth="1"/>
    <col min="4" max="17" width="15.7109375" customWidth="1"/>
    <col min="18" max="19" width="20.7109375" customWidth="1"/>
    <col min="20" max="20" width="15.7109375" customWidth="1"/>
  </cols>
  <sheetData>
    <row r="1" spans="2:25" ht="15.75" thickBot="1" x14ac:dyDescent="0.3">
      <c r="B1" s="35" t="s">
        <v>40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7"/>
    </row>
    <row r="2" spans="2:25" ht="15.75" thickBot="1" x14ac:dyDescent="0.3">
      <c r="B2" s="21" t="s">
        <v>8</v>
      </c>
      <c r="C2" s="19" t="s">
        <v>18</v>
      </c>
      <c r="D2" s="28" t="s">
        <v>28</v>
      </c>
      <c r="E2" s="28" t="s">
        <v>24</v>
      </c>
      <c r="F2" s="28" t="s">
        <v>25</v>
      </c>
      <c r="G2" s="28" t="s">
        <v>26</v>
      </c>
      <c r="H2" s="28" t="s">
        <v>27</v>
      </c>
      <c r="I2" s="28" t="s">
        <v>29</v>
      </c>
      <c r="J2" s="28" t="s">
        <v>30</v>
      </c>
      <c r="K2" s="28" t="s">
        <v>31</v>
      </c>
      <c r="L2" s="28" t="s">
        <v>32</v>
      </c>
      <c r="M2" s="28" t="s">
        <v>33</v>
      </c>
      <c r="N2" s="28" t="s">
        <v>34</v>
      </c>
      <c r="O2" s="28" t="s">
        <v>35</v>
      </c>
      <c r="P2" s="29" t="s">
        <v>36</v>
      </c>
      <c r="Q2" s="20"/>
      <c r="R2" s="32" t="s">
        <v>37</v>
      </c>
      <c r="S2" s="32" t="s">
        <v>39</v>
      </c>
      <c r="T2" s="20"/>
      <c r="U2" s="20"/>
    </row>
    <row r="3" spans="2:25" x14ac:dyDescent="0.25">
      <c r="B3" s="25" t="s">
        <v>0</v>
      </c>
      <c r="C3" s="2" t="s">
        <v>19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4">
        <v>0</v>
      </c>
      <c r="R3" s="33" t="s">
        <v>38</v>
      </c>
      <c r="S3" s="33">
        <v>5</v>
      </c>
    </row>
    <row r="4" spans="2:25" x14ac:dyDescent="0.25">
      <c r="B4" s="26"/>
      <c r="C4" s="5" t="s">
        <v>20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1</v>
      </c>
      <c r="K4" s="1">
        <v>1</v>
      </c>
      <c r="L4" s="1">
        <v>1</v>
      </c>
      <c r="M4" s="1">
        <v>0</v>
      </c>
      <c r="N4" s="1">
        <v>0</v>
      </c>
      <c r="O4" s="1">
        <v>0</v>
      </c>
      <c r="P4" s="6">
        <v>0</v>
      </c>
    </row>
    <row r="5" spans="2:25" x14ac:dyDescent="0.25">
      <c r="B5" s="26"/>
      <c r="C5" s="5" t="s">
        <v>21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1</v>
      </c>
      <c r="M5" s="1">
        <v>1</v>
      </c>
      <c r="N5" s="1">
        <v>0</v>
      </c>
      <c r="O5" s="1">
        <v>0</v>
      </c>
      <c r="P5" s="6">
        <v>0</v>
      </c>
      <c r="R5" s="38" t="s">
        <v>42</v>
      </c>
      <c r="S5" s="39"/>
      <c r="T5" s="39"/>
      <c r="U5" s="39"/>
      <c r="V5" s="39"/>
      <c r="W5" s="39"/>
      <c r="X5" s="39"/>
      <c r="Y5" s="39"/>
    </row>
    <row r="6" spans="2:25" x14ac:dyDescent="0.25">
      <c r="B6" s="26"/>
      <c r="C6" s="5" t="s">
        <v>22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1</v>
      </c>
      <c r="N6" s="1">
        <v>1</v>
      </c>
      <c r="O6" s="1">
        <v>0</v>
      </c>
      <c r="P6" s="6">
        <v>0</v>
      </c>
      <c r="R6" s="39"/>
      <c r="S6" s="39"/>
      <c r="T6" s="39"/>
      <c r="U6" s="39"/>
      <c r="V6" s="39"/>
      <c r="W6" s="39"/>
      <c r="X6" s="39"/>
      <c r="Y6" s="39"/>
    </row>
    <row r="7" spans="2:25" ht="15.75" thickBot="1" x14ac:dyDescent="0.3">
      <c r="B7" s="27"/>
      <c r="C7" s="7" t="s">
        <v>23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1</v>
      </c>
      <c r="P7" s="9">
        <v>1</v>
      </c>
      <c r="R7" s="39"/>
      <c r="S7" s="39"/>
      <c r="T7" s="39"/>
      <c r="U7" s="39"/>
      <c r="V7" s="39"/>
      <c r="W7" s="39"/>
      <c r="X7" s="39"/>
      <c r="Y7" s="39"/>
    </row>
    <row r="8" spans="2:25" x14ac:dyDescent="0.25">
      <c r="B8" s="25" t="s">
        <v>1</v>
      </c>
      <c r="C8" s="2" t="s">
        <v>19</v>
      </c>
      <c r="D8" s="3">
        <v>1</v>
      </c>
      <c r="E8" s="3">
        <v>1</v>
      </c>
      <c r="F8" s="3">
        <v>1</v>
      </c>
      <c r="G8" s="3">
        <v>1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4">
        <v>0</v>
      </c>
      <c r="R8" s="39"/>
      <c r="S8" s="39"/>
      <c r="T8" s="39"/>
      <c r="U8" s="39"/>
      <c r="V8" s="39"/>
      <c r="W8" s="39"/>
      <c r="X8" s="39"/>
      <c r="Y8" s="39"/>
    </row>
    <row r="9" spans="2:25" x14ac:dyDescent="0.25">
      <c r="B9" s="26"/>
      <c r="C9" s="5" t="s">
        <v>20</v>
      </c>
      <c r="D9" s="1">
        <v>0</v>
      </c>
      <c r="E9" s="1">
        <v>0</v>
      </c>
      <c r="F9" s="1">
        <v>0</v>
      </c>
      <c r="G9" s="1">
        <v>0</v>
      </c>
      <c r="H9" s="1">
        <v>1</v>
      </c>
      <c r="I9" s="1">
        <v>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6">
        <v>0</v>
      </c>
      <c r="R9" s="39"/>
      <c r="S9" s="39"/>
      <c r="T9" s="39"/>
      <c r="U9" s="39"/>
      <c r="V9" s="39"/>
      <c r="W9" s="39"/>
      <c r="X9" s="39"/>
      <c r="Y9" s="39"/>
    </row>
    <row r="10" spans="2:25" x14ac:dyDescent="0.25">
      <c r="B10" s="26"/>
      <c r="C10" s="5" t="s">
        <v>21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1</v>
      </c>
      <c r="K10" s="1">
        <v>1</v>
      </c>
      <c r="L10" s="1">
        <v>1</v>
      </c>
      <c r="M10" s="1">
        <v>1</v>
      </c>
      <c r="N10" s="1">
        <v>0</v>
      </c>
      <c r="O10" s="1">
        <v>0</v>
      </c>
      <c r="P10" s="6">
        <v>0</v>
      </c>
      <c r="R10" s="39"/>
      <c r="S10" s="39"/>
      <c r="T10" s="39"/>
      <c r="U10" s="39"/>
      <c r="V10" s="39"/>
      <c r="W10" s="39"/>
      <c r="X10" s="39"/>
      <c r="Y10" s="39"/>
    </row>
    <row r="11" spans="2:25" x14ac:dyDescent="0.25">
      <c r="B11" s="26"/>
      <c r="C11" s="5" t="s">
        <v>22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1</v>
      </c>
      <c r="N11" s="1">
        <v>1</v>
      </c>
      <c r="O11" s="1">
        <v>1</v>
      </c>
      <c r="P11" s="6">
        <v>0</v>
      </c>
      <c r="R11" s="39"/>
      <c r="S11" s="39"/>
      <c r="T11" s="39"/>
      <c r="U11" s="39"/>
      <c r="V11" s="39"/>
      <c r="W11" s="39"/>
      <c r="X11" s="39"/>
      <c r="Y11" s="39"/>
    </row>
    <row r="12" spans="2:25" ht="15.75" thickBot="1" x14ac:dyDescent="0.3">
      <c r="B12" s="27"/>
      <c r="C12" s="7" t="s">
        <v>23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9">
        <v>1</v>
      </c>
      <c r="R12" s="39"/>
      <c r="S12" s="39"/>
      <c r="T12" s="39"/>
      <c r="U12" s="39"/>
      <c r="V12" s="39"/>
      <c r="W12" s="39"/>
      <c r="X12" s="39"/>
      <c r="Y12" s="39"/>
    </row>
    <row r="13" spans="2:25" x14ac:dyDescent="0.25">
      <c r="B13" s="25" t="s">
        <v>2</v>
      </c>
      <c r="C13" s="2" t="s">
        <v>19</v>
      </c>
      <c r="D13" s="3">
        <v>1</v>
      </c>
      <c r="E13" s="3">
        <v>1</v>
      </c>
      <c r="F13" s="3">
        <v>1</v>
      </c>
      <c r="G13" s="3">
        <v>1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v>0</v>
      </c>
      <c r="R13" s="39"/>
      <c r="S13" s="39"/>
      <c r="T13" s="39"/>
      <c r="U13" s="39"/>
      <c r="V13" s="39"/>
      <c r="W13" s="39"/>
      <c r="X13" s="39"/>
      <c r="Y13" s="39"/>
    </row>
    <row r="14" spans="2:25" x14ac:dyDescent="0.25">
      <c r="B14" s="26"/>
      <c r="C14" s="5" t="s">
        <v>20</v>
      </c>
      <c r="D14" s="1">
        <v>0</v>
      </c>
      <c r="E14" s="1">
        <v>0</v>
      </c>
      <c r="F14" s="1">
        <v>0</v>
      </c>
      <c r="G14" s="1">
        <v>0</v>
      </c>
      <c r="H14" s="1">
        <v>1</v>
      </c>
      <c r="I14" s="1">
        <v>1</v>
      </c>
      <c r="J14" s="1">
        <v>1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6">
        <v>0</v>
      </c>
    </row>
    <row r="15" spans="2:25" x14ac:dyDescent="0.25">
      <c r="B15" s="26"/>
      <c r="C15" s="5" t="s">
        <v>21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1</v>
      </c>
      <c r="L15" s="1">
        <v>0</v>
      </c>
      <c r="M15" s="1">
        <v>0</v>
      </c>
      <c r="N15" s="1">
        <v>0</v>
      </c>
      <c r="O15" s="1">
        <v>0</v>
      </c>
      <c r="P15" s="6">
        <v>0</v>
      </c>
    </row>
    <row r="16" spans="2:25" x14ac:dyDescent="0.25">
      <c r="B16" s="26"/>
      <c r="C16" s="5" t="s">
        <v>22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1</v>
      </c>
      <c r="M16" s="1">
        <v>1</v>
      </c>
      <c r="N16" s="1">
        <v>0</v>
      </c>
      <c r="O16" s="1">
        <v>0</v>
      </c>
      <c r="P16" s="6">
        <v>0</v>
      </c>
    </row>
    <row r="17" spans="2:16" ht="15.75" thickBot="1" x14ac:dyDescent="0.3">
      <c r="B17" s="27"/>
      <c r="C17" s="7" t="s">
        <v>23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1</v>
      </c>
      <c r="O17" s="8">
        <v>1</v>
      </c>
      <c r="P17" s="9">
        <v>1</v>
      </c>
    </row>
    <row r="18" spans="2:16" x14ac:dyDescent="0.25">
      <c r="B18" s="25" t="s">
        <v>3</v>
      </c>
      <c r="C18" s="2" t="s">
        <v>19</v>
      </c>
      <c r="D18" s="3">
        <v>1</v>
      </c>
      <c r="E18" s="3">
        <v>1</v>
      </c>
      <c r="F18" s="3">
        <v>1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4">
        <v>0</v>
      </c>
    </row>
    <row r="19" spans="2:16" x14ac:dyDescent="0.25">
      <c r="B19" s="26"/>
      <c r="C19" s="5" t="s">
        <v>20</v>
      </c>
      <c r="D19" s="1">
        <v>0</v>
      </c>
      <c r="E19" s="1">
        <v>0</v>
      </c>
      <c r="F19" s="1">
        <v>0</v>
      </c>
      <c r="G19" s="1">
        <v>1</v>
      </c>
      <c r="H19" s="1">
        <v>1</v>
      </c>
      <c r="I19" s="1">
        <v>1</v>
      </c>
      <c r="J19" s="1">
        <v>1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6">
        <v>0</v>
      </c>
    </row>
    <row r="20" spans="2:16" x14ac:dyDescent="0.25">
      <c r="B20" s="26"/>
      <c r="C20" s="5" t="s">
        <v>21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1</v>
      </c>
      <c r="L20" s="1">
        <v>1</v>
      </c>
      <c r="M20" s="1">
        <v>1</v>
      </c>
      <c r="N20" s="1">
        <v>0</v>
      </c>
      <c r="O20" s="1">
        <v>0</v>
      </c>
      <c r="P20" s="6">
        <v>0</v>
      </c>
    </row>
    <row r="21" spans="2:16" x14ac:dyDescent="0.25">
      <c r="B21" s="26"/>
      <c r="C21" s="5" t="s">
        <v>22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1</v>
      </c>
      <c r="M21" s="1">
        <v>1</v>
      </c>
      <c r="N21" s="1">
        <v>1</v>
      </c>
      <c r="O21" s="1">
        <v>0</v>
      </c>
      <c r="P21" s="6">
        <v>0</v>
      </c>
    </row>
    <row r="22" spans="2:16" ht="15.75" thickBot="1" x14ac:dyDescent="0.3">
      <c r="B22" s="27"/>
      <c r="C22" s="7" t="s">
        <v>23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1</v>
      </c>
      <c r="P22" s="9">
        <v>1</v>
      </c>
    </row>
    <row r="23" spans="2:16" x14ac:dyDescent="0.25">
      <c r="B23" s="25" t="s">
        <v>4</v>
      </c>
      <c r="C23" s="2" t="s">
        <v>19</v>
      </c>
      <c r="D23" s="3">
        <v>1</v>
      </c>
      <c r="E23" s="3">
        <v>1</v>
      </c>
      <c r="F23" s="3">
        <v>1</v>
      </c>
      <c r="G23" s="3">
        <v>1</v>
      </c>
      <c r="H23" s="3">
        <v>1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v>0</v>
      </c>
    </row>
    <row r="24" spans="2:16" x14ac:dyDescent="0.25">
      <c r="B24" s="26"/>
      <c r="C24" s="5" t="s">
        <v>20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6">
        <v>0</v>
      </c>
    </row>
    <row r="25" spans="2:16" x14ac:dyDescent="0.25">
      <c r="B25" s="26"/>
      <c r="C25" s="5" t="s">
        <v>21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1</v>
      </c>
      <c r="K25" s="1">
        <v>1</v>
      </c>
      <c r="L25" s="1">
        <v>0</v>
      </c>
      <c r="M25" s="1">
        <v>0</v>
      </c>
      <c r="N25" s="1">
        <v>0</v>
      </c>
      <c r="O25" s="1">
        <v>0</v>
      </c>
      <c r="P25" s="6">
        <v>0</v>
      </c>
    </row>
    <row r="26" spans="2:16" x14ac:dyDescent="0.25">
      <c r="B26" s="26"/>
      <c r="C26" s="5" t="s">
        <v>22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1</v>
      </c>
      <c r="M26" s="1">
        <v>1</v>
      </c>
      <c r="N26" s="1">
        <v>1</v>
      </c>
      <c r="O26" s="1">
        <v>0</v>
      </c>
      <c r="P26" s="6">
        <v>0</v>
      </c>
    </row>
    <row r="27" spans="2:16" ht="15.75" thickBot="1" x14ac:dyDescent="0.3">
      <c r="B27" s="27"/>
      <c r="C27" s="7" t="s">
        <v>23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1</v>
      </c>
      <c r="O27" s="8">
        <v>1</v>
      </c>
      <c r="P27" s="9">
        <v>1</v>
      </c>
    </row>
    <row r="29" spans="2:16" ht="15.75" thickBot="1" x14ac:dyDescent="0.3"/>
    <row r="30" spans="2:16" ht="15.75" thickBot="1" x14ac:dyDescent="0.3">
      <c r="C30" s="35" t="s">
        <v>41</v>
      </c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7"/>
    </row>
    <row r="31" spans="2:16" ht="15.75" thickBot="1" x14ac:dyDescent="0.3">
      <c r="C31" s="30" t="s">
        <v>9</v>
      </c>
      <c r="D31" s="31" t="s">
        <v>28</v>
      </c>
      <c r="E31" s="28" t="s">
        <v>24</v>
      </c>
      <c r="F31" s="28" t="s">
        <v>25</v>
      </c>
      <c r="G31" s="28" t="s">
        <v>26</v>
      </c>
      <c r="H31" s="28" t="s">
        <v>27</v>
      </c>
      <c r="I31" s="28" t="s">
        <v>29</v>
      </c>
      <c r="J31" s="28" t="s">
        <v>30</v>
      </c>
      <c r="K31" s="28" t="s">
        <v>31</v>
      </c>
      <c r="L31" s="28" t="s">
        <v>32</v>
      </c>
      <c r="M31" s="28" t="s">
        <v>33</v>
      </c>
      <c r="N31" s="28" t="s">
        <v>34</v>
      </c>
      <c r="O31" s="28" t="s">
        <v>35</v>
      </c>
      <c r="P31" s="29" t="s">
        <v>36</v>
      </c>
    </row>
    <row r="32" spans="2:16" x14ac:dyDescent="0.25">
      <c r="C32" s="22" t="s">
        <v>19</v>
      </c>
      <c r="D32" s="2">
        <f>D3+D8+D13+D18+D23</f>
        <v>5</v>
      </c>
      <c r="E32" s="13">
        <f t="shared" ref="E32:P32" si="0">E3+E8+E13+E18+E23</f>
        <v>5</v>
      </c>
      <c r="F32" s="13">
        <f t="shared" si="0"/>
        <v>5</v>
      </c>
      <c r="G32" s="13">
        <f t="shared" si="0"/>
        <v>4</v>
      </c>
      <c r="H32" s="13">
        <f t="shared" si="0"/>
        <v>2</v>
      </c>
      <c r="I32" s="13">
        <f t="shared" si="0"/>
        <v>1</v>
      </c>
      <c r="J32" s="13">
        <f t="shared" si="0"/>
        <v>1</v>
      </c>
      <c r="K32" s="13">
        <f t="shared" si="0"/>
        <v>0</v>
      </c>
      <c r="L32" s="13">
        <f t="shared" si="0"/>
        <v>0</v>
      </c>
      <c r="M32" s="13">
        <f t="shared" si="0"/>
        <v>0</v>
      </c>
      <c r="N32" s="13">
        <f t="shared" si="0"/>
        <v>0</v>
      </c>
      <c r="O32" s="13">
        <f t="shared" si="0"/>
        <v>0</v>
      </c>
      <c r="P32" s="34">
        <f t="shared" si="0"/>
        <v>0</v>
      </c>
    </row>
    <row r="33" spans="3:16" ht="15.75" thickBot="1" x14ac:dyDescent="0.3">
      <c r="C33" s="23"/>
      <c r="D33" s="7">
        <f>D32/$S$3</f>
        <v>1</v>
      </c>
      <c r="E33" s="7">
        <f t="shared" ref="E33:P33" si="1">E32/$S$3</f>
        <v>1</v>
      </c>
      <c r="F33" s="7">
        <f t="shared" si="1"/>
        <v>1</v>
      </c>
      <c r="G33" s="7">
        <f t="shared" si="1"/>
        <v>0.8</v>
      </c>
      <c r="H33" s="7">
        <f t="shared" si="1"/>
        <v>0.4</v>
      </c>
      <c r="I33" s="7">
        <f t="shared" si="1"/>
        <v>0.2</v>
      </c>
      <c r="J33" s="7">
        <f t="shared" si="1"/>
        <v>0.2</v>
      </c>
      <c r="K33" s="7">
        <f t="shared" si="1"/>
        <v>0</v>
      </c>
      <c r="L33" s="7">
        <f t="shared" si="1"/>
        <v>0</v>
      </c>
      <c r="M33" s="7">
        <f t="shared" si="1"/>
        <v>0</v>
      </c>
      <c r="N33" s="7">
        <f t="shared" si="1"/>
        <v>0</v>
      </c>
      <c r="O33" s="7">
        <f t="shared" si="1"/>
        <v>0</v>
      </c>
      <c r="P33" s="7">
        <f t="shared" si="1"/>
        <v>0</v>
      </c>
    </row>
    <row r="34" spans="3:16" x14ac:dyDescent="0.25">
      <c r="C34" s="22" t="s">
        <v>20</v>
      </c>
      <c r="D34" s="13">
        <f>D4+D9+D14+D19+D24</f>
        <v>0</v>
      </c>
      <c r="E34" s="13">
        <f t="shared" ref="E34:P34" si="2">E4+E9+E14+E19+E24</f>
        <v>0</v>
      </c>
      <c r="F34" s="13">
        <f t="shared" si="2"/>
        <v>0</v>
      </c>
      <c r="G34" s="13">
        <f t="shared" si="2"/>
        <v>1</v>
      </c>
      <c r="H34" s="13">
        <f t="shared" si="2"/>
        <v>3</v>
      </c>
      <c r="I34" s="13">
        <f t="shared" si="2"/>
        <v>4</v>
      </c>
      <c r="J34" s="13">
        <f t="shared" si="2"/>
        <v>3</v>
      </c>
      <c r="K34" s="13">
        <f t="shared" si="2"/>
        <v>1</v>
      </c>
      <c r="L34" s="13">
        <f t="shared" si="2"/>
        <v>1</v>
      </c>
      <c r="M34" s="13">
        <f t="shared" si="2"/>
        <v>0</v>
      </c>
      <c r="N34" s="13">
        <f t="shared" si="2"/>
        <v>0</v>
      </c>
      <c r="O34" s="13">
        <f t="shared" si="2"/>
        <v>0</v>
      </c>
      <c r="P34" s="34">
        <f t="shared" si="2"/>
        <v>0</v>
      </c>
    </row>
    <row r="35" spans="3:16" ht="15.75" thickBot="1" x14ac:dyDescent="0.3">
      <c r="C35" s="23"/>
      <c r="D35" s="15">
        <f>D34/$S$3</f>
        <v>0</v>
      </c>
      <c r="E35" s="15">
        <f t="shared" ref="E35:P35" si="3">E34/$S$3</f>
        <v>0</v>
      </c>
      <c r="F35" s="15">
        <f t="shared" si="3"/>
        <v>0</v>
      </c>
      <c r="G35" s="15">
        <f t="shared" si="3"/>
        <v>0.2</v>
      </c>
      <c r="H35" s="15">
        <f t="shared" si="3"/>
        <v>0.6</v>
      </c>
      <c r="I35" s="15">
        <f t="shared" si="3"/>
        <v>0.8</v>
      </c>
      <c r="J35" s="15">
        <f t="shared" si="3"/>
        <v>0.6</v>
      </c>
      <c r="K35" s="15">
        <f t="shared" si="3"/>
        <v>0.2</v>
      </c>
      <c r="L35" s="15">
        <f t="shared" si="3"/>
        <v>0.2</v>
      </c>
      <c r="M35" s="15">
        <f t="shared" si="3"/>
        <v>0</v>
      </c>
      <c r="N35" s="15">
        <f t="shared" si="3"/>
        <v>0</v>
      </c>
      <c r="O35" s="15">
        <f t="shared" si="3"/>
        <v>0</v>
      </c>
      <c r="P35" s="15">
        <f t="shared" si="3"/>
        <v>0</v>
      </c>
    </row>
    <row r="36" spans="3:16" x14ac:dyDescent="0.25">
      <c r="C36" s="22" t="s">
        <v>21</v>
      </c>
      <c r="D36" s="13">
        <f>D5+D10+D15+D20+D25</f>
        <v>0</v>
      </c>
      <c r="E36" s="13">
        <f t="shared" ref="E36:P36" si="4">E5+E10+E15+E20+E25</f>
        <v>0</v>
      </c>
      <c r="F36" s="13">
        <f t="shared" si="4"/>
        <v>0</v>
      </c>
      <c r="G36" s="13">
        <f t="shared" si="4"/>
        <v>0</v>
      </c>
      <c r="H36" s="13">
        <f t="shared" si="4"/>
        <v>0</v>
      </c>
      <c r="I36" s="13">
        <f t="shared" si="4"/>
        <v>0</v>
      </c>
      <c r="J36" s="13">
        <f t="shared" si="4"/>
        <v>2</v>
      </c>
      <c r="K36" s="13">
        <f t="shared" si="4"/>
        <v>4</v>
      </c>
      <c r="L36" s="13">
        <f t="shared" si="4"/>
        <v>3</v>
      </c>
      <c r="M36" s="13">
        <f t="shared" si="4"/>
        <v>3</v>
      </c>
      <c r="N36" s="13">
        <f t="shared" si="4"/>
        <v>0</v>
      </c>
      <c r="O36" s="13">
        <f t="shared" si="4"/>
        <v>0</v>
      </c>
      <c r="P36" s="34">
        <f t="shared" si="4"/>
        <v>0</v>
      </c>
    </row>
    <row r="37" spans="3:16" ht="15.75" thickBot="1" x14ac:dyDescent="0.3">
      <c r="C37" s="23"/>
      <c r="D37" s="15">
        <f>D36/$S$3</f>
        <v>0</v>
      </c>
      <c r="E37" s="15">
        <f t="shared" ref="E37:P37" si="5">E36/$S$3</f>
        <v>0</v>
      </c>
      <c r="F37" s="15">
        <f t="shared" si="5"/>
        <v>0</v>
      </c>
      <c r="G37" s="15">
        <f t="shared" si="5"/>
        <v>0</v>
      </c>
      <c r="H37" s="15">
        <f t="shared" si="5"/>
        <v>0</v>
      </c>
      <c r="I37" s="15">
        <f t="shared" si="5"/>
        <v>0</v>
      </c>
      <c r="J37" s="15">
        <f t="shared" si="5"/>
        <v>0.4</v>
      </c>
      <c r="K37" s="15">
        <f t="shared" si="5"/>
        <v>0.8</v>
      </c>
      <c r="L37" s="15">
        <f t="shared" si="5"/>
        <v>0.6</v>
      </c>
      <c r="M37" s="15">
        <f t="shared" si="5"/>
        <v>0.6</v>
      </c>
      <c r="N37" s="15">
        <f t="shared" si="5"/>
        <v>0</v>
      </c>
      <c r="O37" s="15">
        <f t="shared" si="5"/>
        <v>0</v>
      </c>
      <c r="P37" s="15">
        <f t="shared" si="5"/>
        <v>0</v>
      </c>
    </row>
    <row r="38" spans="3:16" x14ac:dyDescent="0.25">
      <c r="C38" s="22" t="s">
        <v>22</v>
      </c>
      <c r="D38" s="13">
        <f>D6+D11+D16+D21+D26</f>
        <v>0</v>
      </c>
      <c r="E38" s="13">
        <f t="shared" ref="E38:P38" si="6">E6+E11+E16+E21+E26</f>
        <v>0</v>
      </c>
      <c r="F38" s="13">
        <f t="shared" si="6"/>
        <v>0</v>
      </c>
      <c r="G38" s="13">
        <f t="shared" si="6"/>
        <v>0</v>
      </c>
      <c r="H38" s="13">
        <f t="shared" si="6"/>
        <v>0</v>
      </c>
      <c r="I38" s="13">
        <f t="shared" si="6"/>
        <v>0</v>
      </c>
      <c r="J38" s="13">
        <f t="shared" si="6"/>
        <v>0</v>
      </c>
      <c r="K38" s="13">
        <f t="shared" si="6"/>
        <v>0</v>
      </c>
      <c r="L38" s="13">
        <f t="shared" si="6"/>
        <v>3</v>
      </c>
      <c r="M38" s="13">
        <f t="shared" si="6"/>
        <v>5</v>
      </c>
      <c r="N38" s="13">
        <f t="shared" si="6"/>
        <v>4</v>
      </c>
      <c r="O38" s="13">
        <f t="shared" si="6"/>
        <v>1</v>
      </c>
      <c r="P38" s="34">
        <f t="shared" si="6"/>
        <v>0</v>
      </c>
    </row>
    <row r="39" spans="3:16" ht="15.75" thickBot="1" x14ac:dyDescent="0.3">
      <c r="C39" s="23"/>
      <c r="D39" s="15">
        <f>D38/$S$3</f>
        <v>0</v>
      </c>
      <c r="E39" s="15">
        <f t="shared" ref="E39:P39" si="7">E38/$S$3</f>
        <v>0</v>
      </c>
      <c r="F39" s="15">
        <f t="shared" si="7"/>
        <v>0</v>
      </c>
      <c r="G39" s="15">
        <f t="shared" si="7"/>
        <v>0</v>
      </c>
      <c r="H39" s="15">
        <f t="shared" si="7"/>
        <v>0</v>
      </c>
      <c r="I39" s="15">
        <f t="shared" si="7"/>
        <v>0</v>
      </c>
      <c r="J39" s="15">
        <f t="shared" si="7"/>
        <v>0</v>
      </c>
      <c r="K39" s="15">
        <f t="shared" si="7"/>
        <v>0</v>
      </c>
      <c r="L39" s="15">
        <f t="shared" si="7"/>
        <v>0.6</v>
      </c>
      <c r="M39" s="15">
        <f t="shared" si="7"/>
        <v>1</v>
      </c>
      <c r="N39" s="15">
        <f t="shared" si="7"/>
        <v>0.8</v>
      </c>
      <c r="O39" s="15">
        <f t="shared" si="7"/>
        <v>0.2</v>
      </c>
      <c r="P39" s="15">
        <f t="shared" si="7"/>
        <v>0</v>
      </c>
    </row>
    <row r="40" spans="3:16" x14ac:dyDescent="0.25">
      <c r="C40" s="22" t="s">
        <v>23</v>
      </c>
      <c r="D40" s="13">
        <f>D7+D12+D17+D22+D27</f>
        <v>0</v>
      </c>
      <c r="E40" s="13">
        <f t="shared" ref="E40:P40" si="8">E7+E12+E17+E22+E27</f>
        <v>0</v>
      </c>
      <c r="F40" s="13">
        <f t="shared" si="8"/>
        <v>0</v>
      </c>
      <c r="G40" s="13">
        <f t="shared" si="8"/>
        <v>0</v>
      </c>
      <c r="H40" s="13">
        <f t="shared" si="8"/>
        <v>0</v>
      </c>
      <c r="I40" s="13">
        <f t="shared" si="8"/>
        <v>0</v>
      </c>
      <c r="J40" s="13">
        <f t="shared" si="8"/>
        <v>0</v>
      </c>
      <c r="K40" s="13">
        <f t="shared" si="8"/>
        <v>0</v>
      </c>
      <c r="L40" s="13">
        <f t="shared" si="8"/>
        <v>0</v>
      </c>
      <c r="M40" s="13">
        <f t="shared" si="8"/>
        <v>0</v>
      </c>
      <c r="N40" s="13">
        <f t="shared" si="8"/>
        <v>2</v>
      </c>
      <c r="O40" s="13">
        <f t="shared" si="8"/>
        <v>4</v>
      </c>
      <c r="P40" s="34">
        <f t="shared" si="8"/>
        <v>5</v>
      </c>
    </row>
    <row r="41" spans="3:16" ht="15.75" thickBot="1" x14ac:dyDescent="0.3">
      <c r="C41" s="23"/>
      <c r="D41" s="15">
        <f>D40/$S$3</f>
        <v>0</v>
      </c>
      <c r="E41" s="15">
        <f t="shared" ref="E41:P41" si="9">E40/$S$3</f>
        <v>0</v>
      </c>
      <c r="F41" s="15">
        <f t="shared" si="9"/>
        <v>0</v>
      </c>
      <c r="G41" s="15">
        <f t="shared" si="9"/>
        <v>0</v>
      </c>
      <c r="H41" s="15">
        <f t="shared" si="9"/>
        <v>0</v>
      </c>
      <c r="I41" s="15">
        <f t="shared" si="9"/>
        <v>0</v>
      </c>
      <c r="J41" s="15">
        <f t="shared" si="9"/>
        <v>0</v>
      </c>
      <c r="K41" s="15">
        <f t="shared" si="9"/>
        <v>0</v>
      </c>
      <c r="L41" s="15">
        <f t="shared" si="9"/>
        <v>0</v>
      </c>
      <c r="M41" s="15">
        <f t="shared" si="9"/>
        <v>0</v>
      </c>
      <c r="N41" s="15">
        <f t="shared" si="9"/>
        <v>0.4</v>
      </c>
      <c r="O41" s="15">
        <f t="shared" si="9"/>
        <v>0.8</v>
      </c>
      <c r="P41" s="15">
        <f t="shared" si="9"/>
        <v>1</v>
      </c>
    </row>
  </sheetData>
  <mergeCells count="13">
    <mergeCell ref="B1:P1"/>
    <mergeCell ref="C30:P30"/>
    <mergeCell ref="R5:Y13"/>
    <mergeCell ref="C32:C33"/>
    <mergeCell ref="C34:C35"/>
    <mergeCell ref="C36:C37"/>
    <mergeCell ref="C38:C39"/>
    <mergeCell ref="C40:C41"/>
    <mergeCell ref="B3:B7"/>
    <mergeCell ref="B8:B12"/>
    <mergeCell ref="B13:B17"/>
    <mergeCell ref="B18:B22"/>
    <mergeCell ref="B23:B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5_1</vt:lpstr>
      <vt:lpstr>5_1_дз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Вова Чернов</dc:creator>
  <cp:lastModifiedBy>Вова Чернов</cp:lastModifiedBy>
  <dcterms:created xsi:type="dcterms:W3CDTF">2025-10-27T19:53:37Z</dcterms:created>
  <dcterms:modified xsi:type="dcterms:W3CDTF">2025-10-28T12:09:03Z</dcterms:modified>
</cp:coreProperties>
</file>