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ovac\OneDrive\Desktop\"/>
    </mc:Choice>
  </mc:AlternateContent>
  <xr:revisionPtr revIDLastSave="0" documentId="13_ncr:1_{685B858E-2D3C-4F8B-9F17-813514B78C4B}" xr6:coauthVersionLast="47" xr6:coauthVersionMax="47" xr10:uidLastSave="{00000000-0000-0000-0000-000000000000}"/>
  <bookViews>
    <workbookView xWindow="6360" yWindow="5535" windowWidth="28800" windowHeight="15345" activeTab="1" xr2:uid="{00000000-000D-0000-FFFF-FFFF00000000}"/>
  </bookViews>
  <sheets>
    <sheet name="5_2" sheetId="2" r:id="rId1"/>
    <sheet name="lab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1" i="3" l="1" a="1"/>
  <c r="N81" i="3"/>
  <c r="M80" i="3" a="1"/>
  <c r="M80" i="3" s="1"/>
  <c r="N80" i="3" a="1"/>
  <c r="N80" i="3" s="1"/>
  <c r="L79" i="3" a="1"/>
  <c r="L79" i="3" s="1"/>
  <c r="M79" i="3" a="1"/>
  <c r="M79" i="3" s="1"/>
  <c r="N79" i="3" a="1"/>
  <c r="N79" i="3" s="1"/>
  <c r="O79" i="3" a="1"/>
  <c r="O79" i="3" s="1"/>
  <c r="O80" i="3" a="1"/>
  <c r="O80" i="3" s="1"/>
  <c r="O81" i="3" a="1"/>
  <c r="O81" i="3" s="1"/>
  <c r="O82" i="3" a="1"/>
  <c r="O82" i="3" s="1"/>
  <c r="L78" i="3" a="1"/>
  <c r="L78" i="3" s="1"/>
  <c r="M78" i="3" a="1"/>
  <c r="M78" i="3" s="1"/>
  <c r="N78" i="3" a="1"/>
  <c r="N78" i="3" s="1"/>
  <c r="O78" i="3" a="1"/>
  <c r="O78" i="3" s="1"/>
  <c r="K78" i="3" a="1"/>
  <c r="K78" i="3" s="1"/>
  <c r="K77" i="3" a="1"/>
  <c r="K77" i="3" s="1"/>
  <c r="L77" i="3" a="1"/>
  <c r="L77" i="3" s="1"/>
  <c r="M77" i="3" a="1"/>
  <c r="M77" i="3" s="1"/>
  <c r="N77" i="3" a="1"/>
  <c r="N77" i="3" s="1"/>
  <c r="O77" i="3" a="1"/>
  <c r="O77" i="3" s="1"/>
  <c r="J77" i="3" a="1"/>
  <c r="J77" i="3" s="1"/>
  <c r="J76" i="3" a="1"/>
  <c r="J76" i="3" s="1"/>
  <c r="K76" i="3" a="1"/>
  <c r="K76" i="3" s="1"/>
  <c r="L76" i="3" a="1"/>
  <c r="L76" i="3" s="1"/>
  <c r="M76" i="3" a="1"/>
  <c r="M76" i="3" s="1"/>
  <c r="N76" i="3" a="1"/>
  <c r="N76" i="3" s="1"/>
  <c r="O76" i="3" a="1"/>
  <c r="O76" i="3" s="1"/>
  <c r="I76" i="3" a="1"/>
  <c r="I76" i="3" s="1"/>
  <c r="I75" i="3" a="1"/>
  <c r="I75" i="3" s="1"/>
  <c r="J75" i="3" a="1"/>
  <c r="J75" i="3" s="1"/>
  <c r="K75" i="3" a="1"/>
  <c r="K75" i="3" s="1"/>
  <c r="L75" i="3" a="1"/>
  <c r="L75" i="3" s="1"/>
  <c r="M75" i="3" a="1"/>
  <c r="M75" i="3" s="1"/>
  <c r="N75" i="3" a="1"/>
  <c r="N75" i="3" s="1"/>
  <c r="O75" i="3" a="1"/>
  <c r="O75" i="3" s="1"/>
  <c r="H75" i="3" a="1"/>
  <c r="H75" i="3" s="1"/>
  <c r="H74" i="3" a="1"/>
  <c r="H74" i="3" s="1"/>
  <c r="I74" i="3" a="1"/>
  <c r="I74" i="3" s="1"/>
  <c r="J74" i="3" a="1"/>
  <c r="J74" i="3" s="1"/>
  <c r="K74" i="3" a="1"/>
  <c r="K74" i="3" s="1"/>
  <c r="L74" i="3" a="1"/>
  <c r="L74" i="3" s="1"/>
  <c r="M74" i="3" a="1"/>
  <c r="M74" i="3" s="1"/>
  <c r="N74" i="3" a="1"/>
  <c r="N74" i="3" s="1"/>
  <c r="O74" i="3" a="1"/>
  <c r="O74" i="3" s="1"/>
  <c r="G74" i="3" a="1"/>
  <c r="G74" i="3" s="1"/>
  <c r="G73" i="3" a="1"/>
  <c r="G73" i="3" s="1"/>
  <c r="H73" i="3" a="1"/>
  <c r="H73" i="3" s="1"/>
  <c r="I73" i="3" a="1"/>
  <c r="I73" i="3" s="1"/>
  <c r="J73" i="3" a="1"/>
  <c r="J73" i="3" s="1"/>
  <c r="K73" i="3" a="1"/>
  <c r="K73" i="3" s="1"/>
  <c r="L73" i="3" a="1"/>
  <c r="L73" i="3" s="1"/>
  <c r="M73" i="3" a="1"/>
  <c r="M73" i="3" s="1"/>
  <c r="N73" i="3" a="1"/>
  <c r="N73" i="3" s="1"/>
  <c r="O73" i="3" a="1"/>
  <c r="O73" i="3" s="1"/>
  <c r="F73" i="3" a="1"/>
  <c r="F73" i="3" s="1"/>
  <c r="F72" i="3" a="1"/>
  <c r="F72" i="3" s="1"/>
  <c r="G72" i="3" a="1"/>
  <c r="G72" i="3" s="1"/>
  <c r="H72" i="3" a="1"/>
  <c r="H72" i="3" s="1"/>
  <c r="I72" i="3" a="1"/>
  <c r="I72" i="3" s="1"/>
  <c r="J72" i="3" a="1"/>
  <c r="J72" i="3" s="1"/>
  <c r="K72" i="3" a="1"/>
  <c r="K72" i="3" s="1"/>
  <c r="L72" i="3" a="1"/>
  <c r="L72" i="3" s="1"/>
  <c r="M72" i="3" a="1"/>
  <c r="M72" i="3" s="1"/>
  <c r="N72" i="3" a="1"/>
  <c r="N72" i="3" s="1"/>
  <c r="O72" i="3" a="1"/>
  <c r="O72" i="3" s="1"/>
  <c r="E72" i="3" a="1"/>
  <c r="E72" i="3" s="1"/>
  <c r="O64" i="3" a="1"/>
  <c r="O64" i="3"/>
  <c r="O65" i="3" a="1"/>
  <c r="O65" i="3"/>
  <c r="O66" i="3" a="1"/>
  <c r="O66" i="3"/>
  <c r="N64" i="3" a="1"/>
  <c r="N64" i="3"/>
  <c r="N65" i="3" a="1"/>
  <c r="N65" i="3" s="1"/>
  <c r="M64" i="3" a="1"/>
  <c r="M64" i="3" s="1"/>
  <c r="N63" i="3" a="1"/>
  <c r="N63" i="3" s="1"/>
  <c r="O63" i="3" a="1"/>
  <c r="O63" i="3" s="1"/>
  <c r="M60" i="3" a="1"/>
  <c r="M60" i="3" s="1"/>
  <c r="N60" i="3" a="1"/>
  <c r="N60" i="3" s="1"/>
  <c r="O60" i="3" a="1"/>
  <c r="O60" i="3" s="1"/>
  <c r="M61" i="3" a="1"/>
  <c r="M61" i="3" s="1"/>
  <c r="N61" i="3" a="1"/>
  <c r="N61" i="3" s="1"/>
  <c r="O61" i="3" a="1"/>
  <c r="O61" i="3" s="1"/>
  <c r="M62" i="3" a="1"/>
  <c r="M62" i="3" s="1"/>
  <c r="N62" i="3" a="1"/>
  <c r="N62" i="3" s="1"/>
  <c r="O62" i="3" a="1"/>
  <c r="O62" i="3" s="1"/>
  <c r="M63" i="3" a="1"/>
  <c r="M63" i="3" s="1"/>
  <c r="L61" i="3" a="1"/>
  <c r="L61" i="3" s="1"/>
  <c r="L62" i="3" a="1"/>
  <c r="L62" i="3" s="1"/>
  <c r="L63" i="3" a="1"/>
  <c r="L63" i="3" s="1"/>
  <c r="K61" i="3" a="1"/>
  <c r="K61" i="3" s="1"/>
  <c r="K62" i="3" a="1"/>
  <c r="K62" i="3" s="1"/>
  <c r="J61" i="3" a="1"/>
  <c r="J61" i="3" s="1"/>
  <c r="I60" i="3" a="1"/>
  <c r="I60" i="3" s="1"/>
  <c r="J60" i="3" a="1"/>
  <c r="J60" i="3" s="1"/>
  <c r="K60" i="3" a="1"/>
  <c r="K60" i="3" s="1"/>
  <c r="L60" i="3" a="1"/>
  <c r="L60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N58" i="3" a="1"/>
  <c r="N58" i="3" s="1"/>
  <c r="O58" i="3" a="1"/>
  <c r="O58" i="3" s="1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N59" i="3" a="1"/>
  <c r="N59" i="3" s="1"/>
  <c r="O59" i="3" a="1"/>
  <c r="O59" i="3" s="1"/>
  <c r="H59" i="3" a="1"/>
  <c r="H59" i="3" s="1"/>
  <c r="H58" i="3" a="1"/>
  <c r="H58" i="3" s="1"/>
  <c r="G58" i="3" a="1"/>
  <c r="G58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G57" i="3" a="1"/>
  <c r="G57" i="3" s="1"/>
  <c r="H57" i="3" a="1"/>
  <c r="H57" i="3" s="1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N57" i="3" a="1"/>
  <c r="N57" i="3" s="1"/>
  <c r="O57" i="3" a="1"/>
  <c r="O57" i="3" s="1"/>
  <c r="F57" i="3" a="1"/>
  <c r="F57" i="3" s="1"/>
  <c r="F56" i="3" a="1"/>
  <c r="F56" i="3" s="1"/>
  <c r="E56" i="3" a="1"/>
  <c r="E56" i="3" s="1"/>
  <c r="O50" i="3" a="1"/>
  <c r="O50" i="3" s="1"/>
  <c r="N49" i="3" a="1"/>
  <c r="N49" i="3" s="1"/>
  <c r="M48" i="3" a="1"/>
  <c r="M48" i="3" s="1"/>
  <c r="N48" i="3" a="1"/>
  <c r="N48" i="3" s="1"/>
  <c r="L47" i="3" a="1"/>
  <c r="L47" i="3" s="1"/>
  <c r="M47" i="3" a="1"/>
  <c r="M47" i="3" s="1"/>
  <c r="N47" i="3" a="1"/>
  <c r="N47" i="3" s="1"/>
  <c r="K46" i="3" a="1"/>
  <c r="K46" i="3" s="1"/>
  <c r="L46" i="3" a="1"/>
  <c r="L46" i="3" s="1"/>
  <c r="M46" i="3" a="1"/>
  <c r="M46" i="3" s="1"/>
  <c r="N46" i="3" a="1"/>
  <c r="N46" i="3" s="1"/>
  <c r="J45" i="3" a="1"/>
  <c r="J45" i="3" s="1"/>
  <c r="K45" i="3" a="1"/>
  <c r="K45" i="3" s="1"/>
  <c r="L45" i="3" a="1"/>
  <c r="L45" i="3" s="1"/>
  <c r="M45" i="3" a="1"/>
  <c r="M45" i="3" s="1"/>
  <c r="N45" i="3" a="1"/>
  <c r="N45" i="3" s="1"/>
  <c r="I44" i="3" a="1"/>
  <c r="I44" i="3" s="1"/>
  <c r="J44" i="3" a="1"/>
  <c r="J44" i="3" s="1"/>
  <c r="K44" i="3" a="1"/>
  <c r="K44" i="3" s="1"/>
  <c r="L44" i="3" a="1"/>
  <c r="L44" i="3" s="1"/>
  <c r="M44" i="3" a="1"/>
  <c r="M44" i="3" s="1"/>
  <c r="N44" i="3" a="1"/>
  <c r="N44" i="3" s="1"/>
  <c r="H43" i="3" a="1"/>
  <c r="H43" i="3" s="1"/>
  <c r="I43" i="3" a="1"/>
  <c r="I43" i="3" s="1"/>
  <c r="J43" i="3" a="1"/>
  <c r="J43" i="3" s="1"/>
  <c r="K43" i="3" a="1"/>
  <c r="K43" i="3" s="1"/>
  <c r="L43" i="3" a="1"/>
  <c r="L43" i="3" s="1"/>
  <c r="M43" i="3" a="1"/>
  <c r="M43" i="3" s="1"/>
  <c r="N43" i="3" a="1"/>
  <c r="N43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 s="1"/>
  <c r="F41" i="3" a="1"/>
  <c r="F41" i="3" s="1"/>
  <c r="G41" i="3" a="1"/>
  <c r="G41" i="3" s="1"/>
  <c r="H41" i="3" a="1"/>
  <c r="H41" i="3" s="1"/>
  <c r="I41" i="3" a="1"/>
  <c r="I41" i="3" s="1"/>
  <c r="J41" i="3" a="1"/>
  <c r="J41" i="3" s="1"/>
  <c r="K41" i="3" a="1"/>
  <c r="K41" i="3" s="1"/>
  <c r="L41" i="3" a="1"/>
  <c r="L41" i="3" s="1"/>
  <c r="M41" i="3" a="1"/>
  <c r="M41" i="3" s="1"/>
  <c r="N41" i="3" a="1"/>
  <c r="N41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N40" i="3" a="1"/>
  <c r="N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40" i="3" a="1"/>
  <c r="O40" i="3" s="1"/>
  <c r="C72" i="3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F71" i="3"/>
  <c r="G71" i="3" s="1"/>
  <c r="H71" i="3" s="1"/>
  <c r="I71" i="3" s="1"/>
  <c r="J71" i="3" s="1"/>
  <c r="K71" i="3" s="1"/>
  <c r="L71" i="3" s="1"/>
  <c r="M71" i="3" s="1"/>
  <c r="N71" i="3" s="1"/>
  <c r="O71" i="3" s="1"/>
  <c r="C56" i="3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F55" i="3"/>
  <c r="G55" i="3" s="1"/>
  <c r="H55" i="3" s="1"/>
  <c r="I55" i="3" s="1"/>
  <c r="J55" i="3" s="1"/>
  <c r="K55" i="3" s="1"/>
  <c r="L55" i="3" s="1"/>
  <c r="M55" i="3" s="1"/>
  <c r="N55" i="3" s="1"/>
  <c r="O55" i="3" s="1"/>
  <c r="C41" i="3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40" i="3"/>
  <c r="F39" i="3"/>
  <c r="G39" i="3" s="1"/>
  <c r="H39" i="3" s="1"/>
  <c r="I39" i="3" s="1"/>
  <c r="J39" i="3" s="1"/>
  <c r="K39" i="3" s="1"/>
  <c r="L39" i="3" s="1"/>
  <c r="M39" i="3" s="1"/>
  <c r="M35" i="3" a="1"/>
  <c r="M35" i="3" s="1"/>
  <c r="L35" i="3" a="1"/>
  <c r="L35" i="3" s="1"/>
  <c r="L34" i="3" a="1"/>
  <c r="L34" i="3" s="1"/>
  <c r="L33" i="3" a="1"/>
  <c r="L33" i="3" s="1"/>
  <c r="H33" i="3" a="1"/>
  <c r="H33" i="3" s="1"/>
  <c r="I33" i="3" a="1"/>
  <c r="I33" i="3" s="1"/>
  <c r="J33" i="3" a="1"/>
  <c r="J33" i="3" s="1"/>
  <c r="K33" i="3" a="1"/>
  <c r="K33" i="3" s="1"/>
  <c r="H34" i="3" a="1"/>
  <c r="H34" i="3" s="1"/>
  <c r="I34" i="3" a="1"/>
  <c r="I34" i="3" s="1"/>
  <c r="J34" i="3" a="1"/>
  <c r="J34" i="3" s="1"/>
  <c r="K34" i="3" a="1"/>
  <c r="K34" i="3" s="1"/>
  <c r="H35" i="3" a="1"/>
  <c r="H35" i="3" s="1"/>
  <c r="I35" i="3" a="1"/>
  <c r="I35" i="3" s="1"/>
  <c r="J35" i="3" a="1"/>
  <c r="J35" i="3" s="1"/>
  <c r="K35" i="3" a="1"/>
  <c r="K35" i="3" s="1"/>
  <c r="I32" i="3" a="1"/>
  <c r="I32" i="3" s="1"/>
  <c r="J32" i="3" a="1"/>
  <c r="J32" i="3" s="1"/>
  <c r="K32" i="3" a="1"/>
  <c r="K32" i="3" s="1"/>
  <c r="J31" i="3" a="1"/>
  <c r="J31" i="3" s="1"/>
  <c r="I31" i="3" a="1"/>
  <c r="I31" i="3" s="1"/>
  <c r="I30" i="3" a="1"/>
  <c r="I30" i="3" s="1"/>
  <c r="F30" i="3" a="1"/>
  <c r="F30" i="3" s="1"/>
  <c r="G30" i="3" a="1"/>
  <c r="G30" i="3" s="1"/>
  <c r="H30" i="3" a="1"/>
  <c r="H30" i="3" s="1"/>
  <c r="F31" i="3" a="1"/>
  <c r="F31" i="3" s="1"/>
  <c r="G31" i="3" a="1"/>
  <c r="G31" i="3" s="1"/>
  <c r="H31" i="3" a="1"/>
  <c r="H31" i="3" s="1"/>
  <c r="F32" i="3" a="1"/>
  <c r="F32" i="3" s="1"/>
  <c r="G32" i="3" a="1"/>
  <c r="G32" i="3" s="1"/>
  <c r="H32" i="3" a="1"/>
  <c r="H32" i="3" s="1"/>
  <c r="F33" i="3" a="1"/>
  <c r="F33" i="3" s="1"/>
  <c r="G33" i="3" a="1"/>
  <c r="G33" i="3" s="1"/>
  <c r="F34" i="3" a="1"/>
  <c r="F34" i="3" s="1"/>
  <c r="G34" i="3" a="1"/>
  <c r="G34" i="3" s="1"/>
  <c r="F35" i="3" a="1"/>
  <c r="F35" i="3" s="1"/>
  <c r="G35" i="3" a="1"/>
  <c r="G35" i="3" s="1"/>
  <c r="G29" i="3" a="1"/>
  <c r="G29" i="3" s="1"/>
  <c r="H29" i="3" a="1"/>
  <c r="H29" i="3" s="1"/>
  <c r="G28" i="3" a="1"/>
  <c r="G28" i="3" s="1"/>
  <c r="D28" i="3" a="1"/>
  <c r="D28" i="3" s="1"/>
  <c r="E28" i="3" a="1"/>
  <c r="E28" i="3" s="1"/>
  <c r="F28" i="3" a="1"/>
  <c r="F28" i="3" s="1"/>
  <c r="D29" i="3" a="1"/>
  <c r="D29" i="3" s="1"/>
  <c r="E29" i="3" a="1"/>
  <c r="E29" i="3" s="1"/>
  <c r="F29" i="3" a="1"/>
  <c r="F29" i="3" s="1"/>
  <c r="D30" i="3" a="1"/>
  <c r="D30" i="3" s="1"/>
  <c r="E30" i="3" a="1"/>
  <c r="E30" i="3" s="1"/>
  <c r="D31" i="3" a="1"/>
  <c r="D31" i="3" s="1"/>
  <c r="E31" i="3" a="1"/>
  <c r="E31" i="3" s="1"/>
  <c r="D32" i="3" a="1"/>
  <c r="D32" i="3" s="1"/>
  <c r="E32" i="3" a="1"/>
  <c r="E32" i="3" s="1"/>
  <c r="D33" i="3" a="1"/>
  <c r="D33" i="3" s="1"/>
  <c r="E33" i="3" a="1"/>
  <c r="E33" i="3" s="1"/>
  <c r="D34" i="3" a="1"/>
  <c r="D34" i="3" s="1"/>
  <c r="E34" i="3" a="1"/>
  <c r="E34" i="3" s="1"/>
  <c r="D35" i="3" a="1"/>
  <c r="D35" i="3" s="1"/>
  <c r="E35" i="3" a="1"/>
  <c r="E35" i="3" s="1"/>
  <c r="E27" i="3" a="1"/>
  <c r="E27" i="3" s="1"/>
  <c r="F27" i="3" a="1"/>
  <c r="F27" i="3" s="1"/>
  <c r="E26" i="3" a="1"/>
  <c r="E26" i="3" s="1"/>
  <c r="D26" i="3" a="1"/>
  <c r="D26" i="3" s="1"/>
  <c r="D27" i="3" a="1"/>
  <c r="D27" i="3" s="1"/>
  <c r="D25" i="3" a="1"/>
  <c r="D25" i="3" s="1"/>
  <c r="F11" i="3" a="1"/>
  <c r="F11" i="3" s="1"/>
  <c r="F12" i="3" a="1"/>
  <c r="F12" i="3" s="1"/>
  <c r="G12" i="3" a="1"/>
  <c r="G12" i="3" s="1"/>
  <c r="F13" i="3" a="1"/>
  <c r="F13" i="3" s="1"/>
  <c r="G13" i="3" a="1"/>
  <c r="G13" i="3" s="1"/>
  <c r="H13" i="3" a="1"/>
  <c r="H13" i="3" s="1"/>
  <c r="F14" i="3" a="1"/>
  <c r="F14" i="3" s="1"/>
  <c r="G14" i="3" a="1"/>
  <c r="G14" i="3" s="1"/>
  <c r="H14" i="3" a="1"/>
  <c r="H14" i="3" s="1"/>
  <c r="I14" i="3" a="1"/>
  <c r="I14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9" i="3" a="1"/>
  <c r="L19" i="3" s="1"/>
  <c r="M19" i="3" a="1"/>
  <c r="M19" i="3" s="1"/>
  <c r="N19" i="3" a="1"/>
  <c r="N19" i="3" s="1"/>
  <c r="K18" i="3" a="1"/>
  <c r="K18" i="3" s="1"/>
  <c r="L18" i="3" a="1"/>
  <c r="L18" i="3" s="1"/>
  <c r="M18" i="3" a="1"/>
  <c r="M18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9" i="3" a="1"/>
  <c r="D9" i="3" s="1"/>
  <c r="C16" i="2" s="1" a="1"/>
  <c r="C16" i="2" s="1"/>
  <c r="N33" i="3" a="1"/>
  <c r="N33" i="3" s="1"/>
  <c r="C24" i="3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F23" i="3"/>
  <c r="G23" i="3" s="1"/>
  <c r="H23" i="3" s="1"/>
  <c r="I23" i="3" s="1"/>
  <c r="J23" i="3" s="1"/>
  <c r="K23" i="3" s="1"/>
  <c r="L23" i="3" s="1"/>
  <c r="M23" i="3" s="1"/>
  <c r="N23" i="3" s="1"/>
  <c r="O23" i="3" s="1"/>
  <c r="G6" i="2" a="1"/>
  <c r="G6" i="2" s="1"/>
  <c r="F2" i="2" a="1"/>
  <c r="F2" i="2"/>
  <c r="F3" i="2" a="1"/>
  <c r="F3" i="2"/>
  <c r="F4" i="2" a="1"/>
  <c r="F4" i="2"/>
  <c r="F5" i="2" a="1"/>
  <c r="F5" i="2"/>
  <c r="G3" i="2" a="1"/>
  <c r="G3" i="2"/>
  <c r="G4" i="2" a="1"/>
  <c r="G4" i="2"/>
  <c r="G5" i="2" a="1"/>
  <c r="G5" i="2"/>
  <c r="E3" i="2" a="1"/>
  <c r="E3" i="2" s="1"/>
  <c r="D3" i="2" a="1"/>
  <c r="D3" i="2" s="1"/>
  <c r="D2" i="2" a="1"/>
  <c r="D2" i="2" s="1"/>
  <c r="E2" i="2" a="1"/>
  <c r="E2" i="2" s="1"/>
  <c r="G2" i="2" a="1"/>
  <c r="G2" i="2" s="1"/>
  <c r="C2" i="2" a="1"/>
  <c r="C2" i="2" s="1"/>
  <c r="C8" i="3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F7" i="3"/>
  <c r="G7" i="3" s="1"/>
  <c r="H7" i="3" s="1"/>
  <c r="I7" i="3" s="1"/>
  <c r="J7" i="3" s="1"/>
  <c r="K7" i="3" s="1"/>
  <c r="L7" i="3" s="1"/>
  <c r="M7" i="3" s="1"/>
  <c r="N7" i="3" s="1"/>
  <c r="O7" i="3" s="1"/>
  <c r="J23" i="2" a="1"/>
  <c r="J23" i="2" s="1"/>
  <c r="J22" i="2" a="1"/>
  <c r="J22" i="2" s="1"/>
  <c r="I22" i="2" a="1"/>
  <c r="I22" i="2" s="1"/>
  <c r="I21" i="2" a="1"/>
  <c r="I21" i="2" s="1"/>
  <c r="J21" i="2" a="1"/>
  <c r="J21" i="2" s="1"/>
  <c r="H21" i="2" a="1"/>
  <c r="H21" i="2" s="1"/>
  <c r="H20" i="2" a="1"/>
  <c r="H20" i="2" s="1"/>
  <c r="I20" i="2" a="1"/>
  <c r="I20" i="2" s="1"/>
  <c r="J20" i="2" a="1"/>
  <c r="J20" i="2" s="1"/>
  <c r="G20" i="2" a="1"/>
  <c r="G20" i="2" s="1"/>
  <c r="G19" i="2" a="1"/>
  <c r="G19" i="2" s="1"/>
  <c r="H19" i="2" a="1"/>
  <c r="H19" i="2" s="1"/>
  <c r="I19" i="2" a="1"/>
  <c r="I19" i="2" s="1"/>
  <c r="J19" i="2" a="1"/>
  <c r="J19" i="2" s="1"/>
  <c r="F19" i="2" a="1"/>
  <c r="F19" i="2" s="1"/>
  <c r="F18" i="2" a="1"/>
  <c r="F18" i="2" s="1"/>
  <c r="G18" i="2" a="1"/>
  <c r="G18" i="2" s="1"/>
  <c r="H18" i="2" a="1"/>
  <c r="H18" i="2" s="1"/>
  <c r="I18" i="2" a="1"/>
  <c r="I18" i="2" s="1"/>
  <c r="J18" i="2" a="1"/>
  <c r="J18" i="2" s="1"/>
  <c r="E18" i="2" a="1"/>
  <c r="E18" i="2" s="1"/>
  <c r="E17" i="2" a="1"/>
  <c r="E17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D17" i="2" a="1"/>
  <c r="D17" i="2" s="1"/>
  <c r="J16" i="2" a="1"/>
  <c r="J16" i="2" s="1"/>
  <c r="D16" i="2" a="1"/>
  <c r="D16" i="2" s="1"/>
  <c r="E16" i="2" a="1"/>
  <c r="E16" i="2" s="1"/>
  <c r="F16" i="2" a="1"/>
  <c r="F16" i="2" s="1"/>
  <c r="G16" i="2" a="1"/>
  <c r="G16" i="2" s="1"/>
  <c r="H16" i="2" a="1"/>
  <c r="H16" i="2" s="1"/>
  <c r="I16" i="2" a="1"/>
  <c r="I16" i="2" s="1"/>
  <c r="J15" i="2"/>
  <c r="I15" i="2"/>
  <c r="D15" i="2"/>
  <c r="E15" i="2"/>
  <c r="F15" i="2" s="1"/>
  <c r="G15" i="2" s="1"/>
  <c r="H15" i="2" s="1"/>
  <c r="C15" i="2"/>
  <c r="A17" i="2"/>
  <c r="A18" i="2" s="1"/>
  <c r="A19" i="2" s="1"/>
  <c r="A20" i="2" s="1"/>
  <c r="A21" i="2" s="1"/>
  <c r="A22" i="2" s="1"/>
  <c r="A24" i="2" s="1"/>
  <c r="E4" i="2" a="1"/>
  <c r="E4" i="2" s="1"/>
  <c r="N39" i="3" l="1"/>
  <c r="O3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<sst xmlns="http://schemas.openxmlformats.org/spreadsheetml/2006/main" count="6" uniqueCount="6">
  <si>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Таблица попарных сравнений по отношению к свойству "холодно"</t>
  </si>
  <si>
    <t>Перменная "Температура на улице", термы - "холодно", "прохладно", "умеренно", "тепло", "жарко".</t>
  </si>
  <si>
    <t>Таблица попарных сравнений по отношению к свойству "прохладно"</t>
  </si>
  <si>
    <t>Таблица попарных сравнений по отношению к свойству "умеренно"</t>
  </si>
  <si>
    <t>Таблица попарных сравнений по отношению к свойству "тепло"</t>
  </si>
  <si>
    <t>Таблица попарных сравнений по отношению к свойству "жарко"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</si>
</sst>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1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20455</xdr:rowOff>
    </xdr:from>
    <xdr:to>
      <xdr:col>10</xdr:col>
      <xdr:colOff>421324</xdr:colOff>
      <xdr:row>12</xdr:row>
      <xdr:rowOff>162232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BF0E86-30DD-2F72-A00E-D28D00D90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4455"/>
          <a:ext cx="6517324" cy="903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1E8F-359E-45B5-9363-5596349C1233}">
  <dimension ref="A1:J24"/>
  <sheetViews>
    <sheetView workbookViewId="0">
      <selection activeCell="E8" sqref="E8"/>
    </sheetView>
  </sheetViews>
  <sheetFormatPr defaultRowHeight="15" x14ac:dyDescent="0.25"/>
  <cols>
    <col min="3" max="3" width="9.140625" customWidth="1"/>
  </cols>
  <sheetData>
    <row r="1" spans="1:10" x14ac:dyDescent="0.25">
      <c r="A1" s="1"/>
      <c r="B1" s="1">
        <v>170</v>
      </c>
      <c r="C1" s="1">
        <v>175</v>
      </c>
      <c r="D1" s="1">
        <v>180</v>
      </c>
      <c r="E1" s="1">
        <v>185</v>
      </c>
      <c r="F1" s="1">
        <v>190</v>
      </c>
      <c r="G1" s="1">
        <v>195</v>
      </c>
    </row>
    <row r="2" spans="1:10" x14ac:dyDescent="0.25">
      <c r="A2" s="1">
        <v>170</v>
      </c>
      <c r="B2" s="1">
        <v>1</v>
      </c>
      <c r="C2" s="1" cm="1">
        <f t="array" ref="C2">1/INDEX($B$2:$G$7,COLUMN(C2)-COLUMN($B$2)+1,ROW(C2)-ROW($B$2)+1)</f>
        <v>0.5</v>
      </c>
      <c r="D2" s="1" cm="1">
        <f t="array" ref="D2">1/INDEX($B$2:$G$7,COLUMN(D2)-COLUMN($B$2)+1,ROW(D2)-ROW($B$2)+1)</f>
        <v>0.25</v>
      </c>
      <c r="E2" s="1" cm="1">
        <f t="array" ref="E2">1/INDEX($B$2:$G$7,COLUMN(E2)-COLUMN($B$2)+1,ROW(E2)-ROW($B$2)+1)</f>
        <v>0.16666666666666666</v>
      </c>
      <c r="F2" s="1" cm="1">
        <f t="array" ref="F2">1/INDEX($B$2:$G$7,COLUMN(F2)-COLUMN($B$2)+1,ROW(F2)-ROW($B$2)+1)</f>
        <v>0.125</v>
      </c>
      <c r="G2" s="1" cm="1">
        <f t="array" ref="G2">1/INDEX($B$2:$G$7,COLUMN(G2)-COLUMN($B$2)+1,ROW(G2)-ROW($B$2)+1)</f>
        <v>0.1111111111111111</v>
      </c>
      <c r="H2" s="2"/>
    </row>
    <row r="3" spans="1:10" x14ac:dyDescent="0.25">
      <c r="A3" s="1">
        <v>175</v>
      </c>
      <c r="B3" s="1">
        <v>2</v>
      </c>
      <c r="C3" s="1">
        <v>1</v>
      </c>
      <c r="D3" s="1" cm="1">
        <f t="array" ref="D3">1/INDEX($B$2:$G$7,COLUMN(D3)-COLUMN($B$2)+1,ROW(D3)-ROW($B$2)+1)</f>
        <v>0.33333333333333331</v>
      </c>
      <c r="E3" s="1" cm="1">
        <f t="array" ref="E3">1/INDEX($B$2:$G$7,COLUMN(E3)-COLUMN($B$2)+1,ROW(E3)-ROW($B$2)+1)</f>
        <v>0.2</v>
      </c>
      <c r="F3" s="1" cm="1">
        <f t="array" ref="F3">1/INDEX($B$2:$G$7,COLUMN(F3)-COLUMN($B$2)+1,ROW(F3)-ROW($B$2)+1)</f>
        <v>0.14285714285714285</v>
      </c>
      <c r="G3" s="1" cm="1">
        <f t="array" ref="G3">1/INDEX($B$2:$G$7,COLUMN(G3)-COLUMN($B$2)+1,ROW(G3)-ROW($B$2)+1)</f>
        <v>0.125</v>
      </c>
    </row>
    <row r="4" spans="1:10" x14ac:dyDescent="0.25">
      <c r="A4" s="1">
        <v>180</v>
      </c>
      <c r="B4" s="1">
        <v>4</v>
      </c>
      <c r="C4" s="1">
        <v>3</v>
      </c>
      <c r="D4" s="1">
        <v>1</v>
      </c>
      <c r="E4" s="1" cm="1">
        <f t="array" ref="E4">1/INDEX($B$2:$G$7, COLUMN(E4)-1, ROW(E4)-1)</f>
        <v>0.25</v>
      </c>
      <c r="F4" s="1" cm="1">
        <f t="array" ref="F4">1/INDEX($B$2:$G$7,COLUMN(F4)-COLUMN($B$2)+1,ROW(F4)-ROW($B$2)+1)</f>
        <v>0.25</v>
      </c>
      <c r="G4" s="1" cm="1">
        <f t="array" ref="G4">1/INDEX($B$2:$G$7,COLUMN(G4)-COLUMN($B$2)+1,ROW(G4)-ROW($B$2)+1)</f>
        <v>0.2</v>
      </c>
    </row>
    <row r="5" spans="1:10" x14ac:dyDescent="0.25">
      <c r="A5" s="1">
        <v>185</v>
      </c>
      <c r="B5" s="1">
        <v>6</v>
      </c>
      <c r="C5" s="1">
        <v>5</v>
      </c>
      <c r="D5" s="1">
        <v>4</v>
      </c>
      <c r="E5" s="1">
        <v>1</v>
      </c>
      <c r="F5" s="1" cm="1">
        <f t="array" ref="F5">1/INDEX($B$2:$G$7,COLUMN(F5)-COLUMN($B$2)+1,ROW(F5)-ROW($B$2)+1)</f>
        <v>0.33333333333333331</v>
      </c>
      <c r="G5" s="1" cm="1">
        <f t="array" ref="G5">1/INDEX($B$2:$G$7,COLUMN(G5)-COLUMN($B$2)+1,ROW(G5)-ROW($B$2)+1)</f>
        <v>0.33333333333333331</v>
      </c>
    </row>
    <row r="6" spans="1:10" x14ac:dyDescent="0.25">
      <c r="A6" s="1">
        <v>190</v>
      </c>
      <c r="B6" s="1">
        <v>8</v>
      </c>
      <c r="C6" s="1">
        <v>7</v>
      </c>
      <c r="D6" s="1">
        <v>4</v>
      </c>
      <c r="E6" s="1">
        <v>3</v>
      </c>
      <c r="F6" s="1">
        <v>1</v>
      </c>
      <c r="G6" s="1" cm="1">
        <f t="array" ref="G6">1/INDEX($B$2:$G$7,COLUMN(G6)-COLUMN($B$2)+1,ROW(G6)-ROW($B$2)+1)</f>
        <v>1</v>
      </c>
    </row>
    <row r="7" spans="1:10" x14ac:dyDescent="0.25">
      <c r="A7" s="1">
        <v>195</v>
      </c>
      <c r="B7" s="1">
        <v>9</v>
      </c>
      <c r="C7" s="1">
        <v>8</v>
      </c>
      <c r="D7" s="1">
        <v>5</v>
      </c>
      <c r="E7" s="1">
        <v>3</v>
      </c>
      <c r="F7" s="1">
        <v>1</v>
      </c>
      <c r="G7" s="1">
        <v>1</v>
      </c>
    </row>
    <row r="15" spans="1:10" x14ac:dyDescent="0.25">
      <c r="A15" s="1"/>
      <c r="B15" s="1">
        <v>160</v>
      </c>
      <c r="C15" s="1">
        <f>B15+5</f>
        <v>165</v>
      </c>
      <c r="D15" s="1">
        <f t="shared" ref="D15:H15" si="0">C15+5</f>
        <v>170</v>
      </c>
      <c r="E15" s="1">
        <f t="shared" si="0"/>
        <v>175</v>
      </c>
      <c r="F15" s="1">
        <f t="shared" si="0"/>
        <v>180</v>
      </c>
      <c r="G15" s="1">
        <f t="shared" si="0"/>
        <v>185</v>
      </c>
      <c r="H15" s="1">
        <f t="shared" si="0"/>
        <v>190</v>
      </c>
      <c r="I15" s="1">
        <f>H15+5</f>
        <v>195</v>
      </c>
      <c r="J15" s="1">
        <f>I15+5</f>
        <v>200</v>
      </c>
    </row>
    <row r="16" spans="1:10" x14ac:dyDescent="0.25">
      <c r="A16" s="1">
        <v>160</v>
      </c>
      <c r="B16" s="1">
        <v>1</v>
      </c>
      <c r="C16" s="1" cm="1">
        <f t="array" ref="C16">1/INDEX('lab6'!$D$8:$O$19, COLUMN(C16)-COLUMN($B$16)+1, ROW(C16)-ROW($B$16)+1)</f>
        <v>1</v>
      </c>
      <c r="D16" s="1" cm="1">
        <f t="array" ref="D16">1/INDEX($B$16:$J$24, COLUMN(D16)-COLUMN($B$16)+1, ROW(D16)-ROW($B$16)+1)</f>
        <v>0.33333333333333331</v>
      </c>
      <c r="E16" s="1" cm="1">
        <f t="array" ref="E16">1/INDEX($B$16:$J$24, COLUMN(E16)-COLUMN($B$16)+1, ROW(E16)-ROW($B$16)+1)</f>
        <v>0.25</v>
      </c>
      <c r="F16" s="1" cm="1">
        <f t="array" ref="F16">1/INDEX($B$16:$J$24, COLUMN(F16)-COLUMN($B$16)+1, ROW(F16)-ROW($B$16)+1)</f>
        <v>0.2</v>
      </c>
      <c r="G16" s="1" cm="1">
        <f t="array" ref="G16">1/INDEX($B$16:$J$24, COLUMN(G16)-COLUMN($B$16)+1, ROW(G16)-ROW($B$16)+1)</f>
        <v>0.16666666666666666</v>
      </c>
      <c r="H16" s="1" cm="1">
        <f t="array" ref="H16">1/INDEX($B$16:$J$24, COLUMN(H16)-COLUMN($B$16)+1, ROW(H16)-ROW($B$16)+1)</f>
        <v>0.14285714285714285</v>
      </c>
      <c r="I16" s="1" cm="1">
        <f t="array" ref="I16">1/INDEX($B$16:$J$24, COLUMN(I16)-COLUMN($B$16)+1, ROW(I16)-ROW($B$16)+1)</f>
        <v>0.125</v>
      </c>
      <c r="J16" s="1" cm="1">
        <f t="array" ref="J16">1/INDEX($B$16:$J$24, COLUMN(J16)-COLUMN($B$16)+1, ROW(J16)-ROW($B$16)+1)</f>
        <v>0.1111111111111111</v>
      </c>
    </row>
    <row r="17" spans="1:10" x14ac:dyDescent="0.25">
      <c r="A17" s="1">
        <f>A16+5</f>
        <v>165</v>
      </c>
      <c r="B17" s="1">
        <v>2</v>
      </c>
      <c r="C17" s="1">
        <v>1</v>
      </c>
      <c r="D17" s="1" cm="1">
        <f t="array" ref="D17">1/INDEX($B$16:$J$24, COLUMN(D17)-COLUMN($B$16)+1, ROW(D17)-ROW($B$16)+1)</f>
        <v>0.5</v>
      </c>
      <c r="E17" s="1" cm="1">
        <f t="array" ref="E17">1/INDEX($B$16:$J$24, COLUMN(E17)-COLUMN($B$16)+1, ROW(E17)-ROW($B$16)+1)</f>
        <v>0.25</v>
      </c>
      <c r="F17" s="1" cm="1">
        <f t="array" ref="F17">1/INDEX($B$16:$J$24, COLUMN(F17)-COLUMN($B$16)+1, ROW(F17)-ROW($B$16)+1)</f>
        <v>0.2</v>
      </c>
      <c r="G17" s="1" cm="1">
        <f t="array" ref="G17">1/INDEX($B$16:$J$24, COLUMN(G17)-COLUMN($B$16)+1, ROW(G17)-ROW($B$16)+1)</f>
        <v>0.16666666666666666</v>
      </c>
      <c r="H17" s="1" cm="1">
        <f t="array" ref="H17">1/INDEX($B$16:$J$24, COLUMN(H17)-COLUMN($B$16)+1, ROW(H17)-ROW($B$16)+1)</f>
        <v>0.14285714285714285</v>
      </c>
      <c r="I17" s="1" cm="1">
        <f t="array" ref="I17">1/INDEX($B$16:$J$24, COLUMN(I17)-COLUMN($B$16)+1, ROW(I17)-ROW($B$16)+1)</f>
        <v>0.125</v>
      </c>
      <c r="J17" s="1" cm="1">
        <f t="array" ref="J17">1/INDEX($B$16:$J$24, COLUMN(J17)-COLUMN($B$16)+1, ROW(J17)-ROW($B$16)+1)</f>
        <v>0.1111111111111111</v>
      </c>
    </row>
    <row r="18" spans="1:10" x14ac:dyDescent="0.25">
      <c r="A18" s="1">
        <f t="shared" ref="A18:A24" si="1">A17+5</f>
        <v>170</v>
      </c>
      <c r="B18" s="1">
        <v>3</v>
      </c>
      <c r="C18" s="1">
        <v>2</v>
      </c>
      <c r="D18" s="1">
        <v>1</v>
      </c>
      <c r="E18" s="1" cm="1">
        <f t="array" ref="E18">1/INDEX($B$16:$J$24, COLUMN(E18)-COLUMN($B$16)+1, ROW(E18)-ROW($B$16)+1)</f>
        <v>0.5</v>
      </c>
      <c r="F18" s="1" cm="1">
        <f t="array" ref="F18">1/INDEX($B$16:$J$24, COLUMN(F18)-COLUMN($B$16)+1, ROW(F18)-ROW($B$16)+1)</f>
        <v>0.25</v>
      </c>
      <c r="G18" s="1" cm="1">
        <f t="array" ref="G18">1/INDEX($B$16:$J$24, COLUMN(G18)-COLUMN($B$16)+1, ROW(G18)-ROW($B$16)+1)</f>
        <v>0.2</v>
      </c>
      <c r="H18" s="1" cm="1">
        <f t="array" ref="H18">1/INDEX($B$16:$J$24, COLUMN(H18)-COLUMN($B$16)+1, ROW(H18)-ROW($B$16)+1)</f>
        <v>0.16666666666666666</v>
      </c>
      <c r="I18" s="1" cm="1">
        <f t="array" ref="I18">1/INDEX($B$16:$J$24, COLUMN(I18)-COLUMN($B$16)+1, ROW(I18)-ROW($B$16)+1)</f>
        <v>0.14285714285714285</v>
      </c>
      <c r="J18" s="1" cm="1">
        <f t="array" ref="J18">1/INDEX($B$16:$J$24, COLUMN(J18)-COLUMN($B$16)+1, ROW(J18)-ROW($B$16)+1)</f>
        <v>0.125</v>
      </c>
    </row>
    <row r="19" spans="1:10" x14ac:dyDescent="0.25">
      <c r="A19" s="1">
        <f t="shared" si="1"/>
        <v>175</v>
      </c>
      <c r="B19" s="1">
        <v>4</v>
      </c>
      <c r="C19" s="1">
        <v>4</v>
      </c>
      <c r="D19" s="1">
        <v>2</v>
      </c>
      <c r="E19" s="1">
        <v>1</v>
      </c>
      <c r="F19" s="1" cm="1">
        <f t="array" ref="F19">1/INDEX($B$16:$J$24, COLUMN(F19)-COLUMN($B$16)+1, ROW(F19)-ROW($B$16)+1)</f>
        <v>0.33333333333333331</v>
      </c>
      <c r="G19" s="1" cm="1">
        <f t="array" ref="G19">1/INDEX($B$16:$J$24, COLUMN(G19)-COLUMN($B$16)+1, ROW(G19)-ROW($B$16)+1)</f>
        <v>0.2</v>
      </c>
      <c r="H19" s="1" cm="1">
        <f t="array" ref="H19">1/INDEX($B$16:$J$24, COLUMN(H19)-COLUMN($B$16)+1, ROW(H19)-ROW($B$16)+1)</f>
        <v>0.14285714285714285</v>
      </c>
      <c r="I19" s="1" cm="1">
        <f t="array" ref="I19">1/INDEX($B$16:$J$24, COLUMN(I19)-COLUMN($B$16)+1, ROW(I19)-ROW($B$16)+1)</f>
        <v>0.125</v>
      </c>
      <c r="J19" s="1" cm="1">
        <f t="array" ref="J19">1/INDEX($B$16:$J$24, COLUMN(J19)-COLUMN($B$16)+1, ROW(J19)-ROW($B$16)+1)</f>
        <v>0.125</v>
      </c>
    </row>
    <row r="20" spans="1:10" x14ac:dyDescent="0.25">
      <c r="A20" s="1">
        <f t="shared" si="1"/>
        <v>180</v>
      </c>
      <c r="B20" s="1">
        <v>5</v>
      </c>
      <c r="C20" s="1">
        <v>5</v>
      </c>
      <c r="D20" s="1">
        <v>4</v>
      </c>
      <c r="E20" s="1">
        <v>3</v>
      </c>
      <c r="F20" s="1">
        <v>1</v>
      </c>
      <c r="G20" s="1" cm="1">
        <f t="array" ref="G20">1/INDEX($B$16:$J$24, COLUMN(G20)-COLUMN($B$16)+1, ROW(G20)-ROW($B$16)+1)</f>
        <v>0.25</v>
      </c>
      <c r="H20" s="1" cm="1">
        <f t="array" ref="H20">1/INDEX($B$16:$J$24, COLUMN(H20)-COLUMN($B$16)+1, ROW(H20)-ROW($B$16)+1)</f>
        <v>0.16666666666666666</v>
      </c>
      <c r="I20" s="1" cm="1">
        <f t="array" ref="I20">1/INDEX($B$16:$J$24, COLUMN(I20)-COLUMN($B$16)+1, ROW(I20)-ROW($B$16)+1)</f>
        <v>0.125</v>
      </c>
      <c r="J20" s="1" cm="1">
        <f t="array" ref="J20">1/INDEX($B$16:$J$24, COLUMN(J20)-COLUMN($B$16)+1, ROW(J20)-ROW($B$16)+1)</f>
        <v>0.1111111111111111</v>
      </c>
    </row>
    <row r="21" spans="1:10" x14ac:dyDescent="0.25">
      <c r="A21" s="1">
        <f>A20+5</f>
        <v>185</v>
      </c>
      <c r="B21" s="1">
        <v>6</v>
      </c>
      <c r="C21" s="1">
        <v>6</v>
      </c>
      <c r="D21" s="1">
        <v>5</v>
      </c>
      <c r="E21" s="1">
        <v>5</v>
      </c>
      <c r="F21" s="1">
        <v>4</v>
      </c>
      <c r="G21" s="1">
        <v>1</v>
      </c>
      <c r="H21" s="1" cm="1">
        <f t="array" ref="H21">1/INDEX($B$16:$J$24, COLUMN(H21)-COLUMN($B$16)+1, ROW(H21)-ROW($B$16)+1)</f>
        <v>0.33333333333333331</v>
      </c>
      <c r="I21" s="1" cm="1">
        <f t="array" ref="I21">1/INDEX($B$16:$J$24, COLUMN(I21)-COLUMN($B$16)+1, ROW(I21)-ROW($B$16)+1)</f>
        <v>0.25</v>
      </c>
      <c r="J21" s="1" cm="1">
        <f t="array" ref="J21">1/INDEX($B$16:$J$24, COLUMN(J21)-COLUMN($B$16)+1, ROW(J21)-ROW($B$16)+1)</f>
        <v>0.2</v>
      </c>
    </row>
    <row r="22" spans="1:10" x14ac:dyDescent="0.25">
      <c r="A22" s="1">
        <f t="shared" si="1"/>
        <v>190</v>
      </c>
      <c r="B22" s="1">
        <v>7</v>
      </c>
      <c r="C22" s="1">
        <v>7</v>
      </c>
      <c r="D22" s="1">
        <v>6</v>
      </c>
      <c r="E22" s="1">
        <v>7</v>
      </c>
      <c r="F22" s="1">
        <v>6</v>
      </c>
      <c r="G22" s="1">
        <v>3</v>
      </c>
      <c r="H22" s="1">
        <v>1</v>
      </c>
      <c r="I22" s="1" cm="1">
        <f t="array" ref="I22">1/INDEX($B$16:$J$24, COLUMN(I22)-COLUMN($B$16)+1, ROW(I22)-ROW($B$16)+1)</f>
        <v>0.5</v>
      </c>
      <c r="J22" s="1" cm="1">
        <f t="array" ref="J22">1/INDEX($B$16:$J$24, COLUMN(J22)-COLUMN($B$16)+1, ROW(J22)-ROW($B$16)+1)</f>
        <v>0.33333333333333331</v>
      </c>
    </row>
    <row r="23" spans="1:10" x14ac:dyDescent="0.25">
      <c r="A23" s="1">
        <v>185</v>
      </c>
      <c r="B23" s="1">
        <v>8</v>
      </c>
      <c r="C23" s="1">
        <v>8</v>
      </c>
      <c r="D23" s="1">
        <v>7</v>
      </c>
      <c r="E23" s="1">
        <v>8</v>
      </c>
      <c r="F23" s="1">
        <v>8</v>
      </c>
      <c r="G23" s="1">
        <v>4</v>
      </c>
      <c r="H23" s="1">
        <v>2</v>
      </c>
      <c r="I23" s="1">
        <v>1</v>
      </c>
      <c r="J23" s="1" cm="1">
        <f t="array" ref="J23">1/INDEX($B$16:$J$24, COLUMN(J23)-COLUMN($B$16)+1, ROW(J23)-ROW($B$16)+1)</f>
        <v>1</v>
      </c>
    </row>
    <row r="24" spans="1:10" x14ac:dyDescent="0.25">
      <c r="A24" s="1">
        <f t="shared" si="1"/>
        <v>190</v>
      </c>
      <c r="B24" s="1">
        <v>9</v>
      </c>
      <c r="C24" s="1">
        <v>9</v>
      </c>
      <c r="D24" s="1">
        <v>8</v>
      </c>
      <c r="E24" s="1">
        <v>8</v>
      </c>
      <c r="F24" s="1">
        <v>9</v>
      </c>
      <c r="G24" s="1">
        <v>5</v>
      </c>
      <c r="H24" s="1">
        <v>3</v>
      </c>
      <c r="I24" s="1">
        <v>1</v>
      </c>
      <c r="J24" s="1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C1B3-F4F8-4A66-9D25-C52EEF2E7F30}">
  <dimension ref="A1:O83"/>
  <sheetViews>
    <sheetView tabSelected="1" topLeftCell="A3" zoomScale="115" zoomScaleNormal="115" workbookViewId="0">
      <selection activeCell="G94" sqref="G94"/>
    </sheetView>
  </sheetViews>
  <sheetFormatPr defaultRowHeight="15" x14ac:dyDescent="0.25"/>
  <cols>
    <col min="5" max="5" width="10.28515625" bestFit="1" customWidth="1"/>
  </cols>
  <sheetData>
    <row r="1" spans="1:15" x14ac:dyDescent="0.25">
      <c r="A1" s="17" t="s">
        <v>1</v>
      </c>
      <c r="B1" s="17"/>
      <c r="C1" s="17"/>
      <c r="D1" s="17"/>
      <c r="E1" s="17"/>
      <c r="F1" s="17"/>
    </row>
    <row r="2" spans="1:15" x14ac:dyDescent="0.25">
      <c r="A2" s="17"/>
      <c r="B2" s="17"/>
      <c r="C2" s="17"/>
      <c r="D2" s="17"/>
      <c r="E2" s="17"/>
      <c r="F2" s="17"/>
    </row>
    <row r="3" spans="1:15" x14ac:dyDescent="0.25">
      <c r="A3" s="17"/>
      <c r="B3" s="17"/>
      <c r="C3" s="17"/>
      <c r="D3" s="17"/>
      <c r="E3" s="17"/>
      <c r="F3" s="17"/>
    </row>
    <row r="4" spans="1:15" x14ac:dyDescent="0.25">
      <c r="A4" s="17"/>
      <c r="B4" s="17"/>
      <c r="C4" s="17"/>
      <c r="D4" s="17"/>
      <c r="E4" s="17"/>
      <c r="F4" s="17"/>
    </row>
    <row r="5" spans="1:15" ht="15.75" thickBot="1" x14ac:dyDescent="0.3"/>
    <row r="6" spans="1:15" ht="15.75" thickBot="1" x14ac:dyDescent="0.3">
      <c r="C6" s="14" t="s"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ht="15.75" thickBot="1" x14ac:dyDescent="0.3">
      <c r="C7" s="8"/>
      <c r="D7" s="9">
        <v>-20</v>
      </c>
      <c r="E7" s="10">
        <v>-15</v>
      </c>
      <c r="F7" s="10">
        <f>E7+5</f>
        <v>-10</v>
      </c>
      <c r="G7" s="10">
        <f t="shared" ref="G7:O7" si="0">F7+5</f>
        <v>-5</v>
      </c>
      <c r="H7" s="10">
        <f t="shared" si="0"/>
        <v>0</v>
      </c>
      <c r="I7" s="10">
        <f t="shared" si="0"/>
        <v>5</v>
      </c>
      <c r="J7" s="10">
        <f t="shared" si="0"/>
        <v>10</v>
      </c>
      <c r="K7" s="10">
        <f>J7+5</f>
        <v>15</v>
      </c>
      <c r="L7" s="10">
        <f t="shared" si="0"/>
        <v>20</v>
      </c>
      <c r="M7" s="10">
        <f t="shared" si="0"/>
        <v>25</v>
      </c>
      <c r="N7" s="10">
        <f t="shared" si="0"/>
        <v>30</v>
      </c>
      <c r="O7" s="11">
        <f t="shared" si="0"/>
        <v>35</v>
      </c>
    </row>
    <row r="8" spans="1:15" x14ac:dyDescent="0.25">
      <c r="C8" s="7">
        <f>-20</f>
        <v>-20</v>
      </c>
      <c r="D8" s="12">
        <v>1</v>
      </c>
      <c r="E8" s="3">
        <v>1</v>
      </c>
      <c r="F8" s="3">
        <v>2</v>
      </c>
      <c r="G8" s="3">
        <v>3</v>
      </c>
      <c r="H8" s="3">
        <v>4</v>
      </c>
      <c r="I8" s="3">
        <v>5</v>
      </c>
      <c r="J8" s="3">
        <v>6</v>
      </c>
      <c r="K8" s="3">
        <v>7</v>
      </c>
      <c r="L8" s="3">
        <v>8</v>
      </c>
      <c r="M8" s="3">
        <v>8</v>
      </c>
      <c r="N8" s="3">
        <v>9</v>
      </c>
      <c r="O8" s="3">
        <v>9</v>
      </c>
    </row>
    <row r="9" spans="1:15" x14ac:dyDescent="0.25">
      <c r="C9" s="5">
        <f t="shared" ref="C9:C19" si="1">C8+5</f>
        <v>-15</v>
      </c>
      <c r="D9" s="4" cm="1">
        <f t="array" ref="D9">1/INDEX($D$8:$O$19,COLUMN(D9)-COLUMN($D$8)+1,ROW(D9)-ROW($D$8)+1)</f>
        <v>1</v>
      </c>
      <c r="E9" s="13">
        <v>1</v>
      </c>
      <c r="F9" s="3">
        <v>2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8</v>
      </c>
      <c r="O9" s="3">
        <v>9</v>
      </c>
    </row>
    <row r="10" spans="1:15" x14ac:dyDescent="0.25">
      <c r="C10" s="5">
        <f t="shared" si="1"/>
        <v>-10</v>
      </c>
      <c r="D10" s="4" cm="1">
        <f t="array" ref="D10">1/INDEX($D$8:$O$19,COLUMN(D10)-COLUMN($D$8)+1,ROW(D10)-ROW($D$8)+1)</f>
        <v>0.5</v>
      </c>
      <c r="E10" s="4" cm="1">
        <f t="array" ref="E10">1/INDEX($D$8:$O$19,COLUMN(E10)-COLUMN($D$8)+1,ROW(E10)-ROW($D$8)+1)</f>
        <v>0.5</v>
      </c>
      <c r="F10" s="13">
        <v>1</v>
      </c>
      <c r="G10" s="3">
        <v>3</v>
      </c>
      <c r="H10" s="3">
        <v>4</v>
      </c>
      <c r="I10" s="3">
        <v>4</v>
      </c>
      <c r="J10" s="3">
        <v>4</v>
      </c>
      <c r="K10" s="3">
        <v>5</v>
      </c>
      <c r="L10" s="3">
        <v>6</v>
      </c>
      <c r="M10" s="3">
        <v>7</v>
      </c>
      <c r="N10" s="3">
        <v>8</v>
      </c>
      <c r="O10" s="3">
        <v>9</v>
      </c>
    </row>
    <row r="11" spans="1:15" x14ac:dyDescent="0.25">
      <c r="C11" s="5">
        <f t="shared" si="1"/>
        <v>-5</v>
      </c>
      <c r="D11" s="4" cm="1">
        <f t="array" ref="D11">1/INDEX($D$8:$O$19,COLUMN(D11)-COLUMN($D$8)+1,ROW(D11)-ROW($D$8)+1)</f>
        <v>0.33333333333333331</v>
      </c>
      <c r="E11" s="4" cm="1">
        <f t="array" ref="E11">1/INDEX($D$8:$O$19,COLUMN(E11)-COLUMN($D$8)+1,ROW(E11)-ROW($D$8)+1)</f>
        <v>0.5</v>
      </c>
      <c r="F11" s="4" cm="1">
        <f t="array" ref="F11">1/INDEX($D$8:$O$19,COLUMN(F11)-COLUMN($D$8)+1,ROW(F11)-ROW($D$8)+1)</f>
        <v>0.33333333333333331</v>
      </c>
      <c r="G11" s="13">
        <v>1</v>
      </c>
      <c r="H11" s="3">
        <v>4</v>
      </c>
      <c r="I11" s="3">
        <v>5</v>
      </c>
      <c r="J11" s="3">
        <v>5</v>
      </c>
      <c r="K11" s="3">
        <v>6</v>
      </c>
      <c r="L11" s="3">
        <v>6</v>
      </c>
      <c r="M11" s="3">
        <v>7</v>
      </c>
      <c r="N11" s="3">
        <v>8</v>
      </c>
      <c r="O11" s="3">
        <v>9</v>
      </c>
    </row>
    <row r="12" spans="1:15" x14ac:dyDescent="0.25">
      <c r="C12" s="5">
        <f t="shared" si="1"/>
        <v>0</v>
      </c>
      <c r="D12" s="4" cm="1">
        <f t="array" ref="D12">1/INDEX($D$8:$O$19,COLUMN(D12)-COLUMN($D$8)+1,ROW(D12)-ROW($D$8)+1)</f>
        <v>0.25</v>
      </c>
      <c r="E12" s="4" cm="1">
        <f t="array" ref="E12">1/INDEX($D$8:$O$19,COLUMN(E12)-COLUMN($D$8)+1,ROW(E12)-ROW($D$8)+1)</f>
        <v>0.33333333333333331</v>
      </c>
      <c r="F12" s="4" cm="1">
        <f t="array" ref="F12">1/INDEX($D$8:$O$19,COLUMN(F12)-COLUMN($D$8)+1,ROW(F12)-ROW($D$8)+1)</f>
        <v>0.25</v>
      </c>
      <c r="G12" s="4" cm="1">
        <f t="array" ref="G12">1/INDEX($D$8:$O$19,COLUMN(G12)-COLUMN($D$8)+1,ROW(G12)-ROW($D$8)+1)</f>
        <v>0.25</v>
      </c>
      <c r="H12" s="13">
        <v>1</v>
      </c>
      <c r="I12" s="3">
        <v>4</v>
      </c>
      <c r="J12" s="3">
        <v>4</v>
      </c>
      <c r="K12" s="3">
        <v>5</v>
      </c>
      <c r="L12" s="3">
        <v>6</v>
      </c>
      <c r="M12" s="3">
        <v>7</v>
      </c>
      <c r="N12" s="3">
        <v>7</v>
      </c>
      <c r="O12" s="3">
        <v>8</v>
      </c>
    </row>
    <row r="13" spans="1:15" x14ac:dyDescent="0.25">
      <c r="C13" s="5">
        <f t="shared" si="1"/>
        <v>5</v>
      </c>
      <c r="D13" s="4" cm="1">
        <f t="array" ref="D13">1/INDEX($D$8:$O$19,COLUMN(D13)-COLUMN($D$8)+1,ROW(D13)-ROW($D$8)+1)</f>
        <v>0.2</v>
      </c>
      <c r="E13" s="4" cm="1">
        <f t="array" ref="E13">1/INDEX($D$8:$O$19,COLUMN(E13)-COLUMN($D$8)+1,ROW(E13)-ROW($D$8)+1)</f>
        <v>0.25</v>
      </c>
      <c r="F13" s="4" cm="1">
        <f t="array" ref="F13">1/INDEX($D$8:$O$19,COLUMN(F13)-COLUMN($D$8)+1,ROW(F13)-ROW($D$8)+1)</f>
        <v>0.25</v>
      </c>
      <c r="G13" s="4" cm="1">
        <f t="array" ref="G13">1/INDEX($D$8:$O$19,COLUMN(G13)-COLUMN($D$8)+1,ROW(G13)-ROW($D$8)+1)</f>
        <v>0.2</v>
      </c>
      <c r="H13" s="4" cm="1">
        <f t="array" ref="H13">1/INDEX($D$8:$O$19,COLUMN(H13)-COLUMN($D$8)+1,ROW(H13)-ROW($D$8)+1)</f>
        <v>0.25</v>
      </c>
      <c r="I13" s="13">
        <v>1</v>
      </c>
      <c r="J13" s="3">
        <v>2</v>
      </c>
      <c r="K13" s="3">
        <v>2</v>
      </c>
      <c r="L13" s="3">
        <v>3</v>
      </c>
      <c r="M13" s="3">
        <v>4</v>
      </c>
      <c r="N13" s="3">
        <v>4</v>
      </c>
      <c r="O13" s="3">
        <v>5</v>
      </c>
    </row>
    <row r="14" spans="1:15" x14ac:dyDescent="0.25">
      <c r="C14" s="5">
        <f t="shared" si="1"/>
        <v>10</v>
      </c>
      <c r="D14" s="4" cm="1">
        <f t="array" ref="D14">1/INDEX($D$8:$O$19,COLUMN(D14)-COLUMN($D$8)+1,ROW(D14)-ROW($D$8)+1)</f>
        <v>0.16666666666666666</v>
      </c>
      <c r="E14" s="4" cm="1">
        <f t="array" ref="E14">1/INDEX($D$8:$O$19,COLUMN(E14)-COLUMN($D$8)+1,ROW(E14)-ROW($D$8)+1)</f>
        <v>0.2</v>
      </c>
      <c r="F14" s="4" cm="1">
        <f t="array" ref="F14">1/INDEX($D$8:$O$19,COLUMN(F14)-COLUMN($D$8)+1,ROW(F14)-ROW($D$8)+1)</f>
        <v>0.25</v>
      </c>
      <c r="G14" s="4" cm="1">
        <f t="array" ref="G14">1/INDEX($D$8:$O$19,COLUMN(G14)-COLUMN($D$8)+1,ROW(G14)-ROW($D$8)+1)</f>
        <v>0.2</v>
      </c>
      <c r="H14" s="4" cm="1">
        <f t="array" ref="H14">1/INDEX($D$8:$O$19,COLUMN(H14)-COLUMN($D$8)+1,ROW(H14)-ROW($D$8)+1)</f>
        <v>0.25</v>
      </c>
      <c r="I14" s="4" cm="1">
        <f t="array" ref="I14">1/INDEX($D$8:$O$19,COLUMN(I14)-COLUMN($D$8)+1,ROW(I14)-ROW($D$8)+1)</f>
        <v>0.5</v>
      </c>
      <c r="J14" s="13">
        <v>1</v>
      </c>
      <c r="K14" s="3">
        <v>2</v>
      </c>
      <c r="L14" s="3">
        <v>2</v>
      </c>
      <c r="M14" s="3">
        <v>2</v>
      </c>
      <c r="N14" s="3">
        <v>3</v>
      </c>
      <c r="O14" s="3">
        <v>3</v>
      </c>
    </row>
    <row r="15" spans="1:15" x14ac:dyDescent="0.25">
      <c r="C15" s="5">
        <f t="shared" si="1"/>
        <v>15</v>
      </c>
      <c r="D15" s="4" cm="1">
        <f t="array" ref="D15">1/INDEX($D$8:$O$19,COLUMN(D15)-COLUMN($D$8)+1,ROW(D15)-ROW($D$8)+1)</f>
        <v>0.14285714285714285</v>
      </c>
      <c r="E15" s="4" cm="1">
        <f t="array" ref="E15">1/INDEX($D$8:$O$19,COLUMN(E15)-COLUMN($D$8)+1,ROW(E15)-ROW($D$8)+1)</f>
        <v>0.16666666666666666</v>
      </c>
      <c r="F15" s="4" cm="1">
        <f t="array" ref="F15">1/INDEX($D$8:$O$19,COLUMN(F15)-COLUMN($D$8)+1,ROW(F15)-ROW($D$8)+1)</f>
        <v>0.2</v>
      </c>
      <c r="G15" s="4" cm="1">
        <f t="array" ref="G15">1/INDEX($D$8:$O$19,COLUMN(G15)-COLUMN($D$8)+1,ROW(G15)-ROW($D$8)+1)</f>
        <v>0.16666666666666666</v>
      </c>
      <c r="H15" s="4" cm="1">
        <f t="array" ref="H15">1/INDEX($D$8:$O$19,COLUMN(H15)-COLUMN($D$8)+1,ROW(H15)-ROW($D$8)+1)</f>
        <v>0.2</v>
      </c>
      <c r="I15" s="4" cm="1">
        <f t="array" ref="I15">1/INDEX($D$8:$O$19,COLUMN(I15)-COLUMN($D$8)+1,ROW(I15)-ROW($D$8)+1)</f>
        <v>0.5</v>
      </c>
      <c r="J15" s="4" cm="1">
        <f t="array" ref="J15">1/INDEX($D$8:$O$19,COLUMN(J15)-COLUMN($D$8)+1,ROW(J15)-ROW($D$8)+1)</f>
        <v>0.5</v>
      </c>
      <c r="K15" s="13">
        <v>1</v>
      </c>
      <c r="L15" s="3">
        <v>1</v>
      </c>
      <c r="M15" s="3">
        <v>1</v>
      </c>
      <c r="N15" s="3">
        <v>1</v>
      </c>
      <c r="O15" s="3">
        <v>2</v>
      </c>
    </row>
    <row r="16" spans="1:15" x14ac:dyDescent="0.25">
      <c r="C16" s="5">
        <f t="shared" si="1"/>
        <v>20</v>
      </c>
      <c r="D16" s="4" cm="1">
        <f t="array" ref="D16">1/INDEX($D$8:$O$19,COLUMN(D16)-COLUMN($D$8)+1,ROW(D16)-ROW($D$8)+1)</f>
        <v>0.125</v>
      </c>
      <c r="E16" s="4" cm="1">
        <f t="array" ref="E16">1/INDEX($D$8:$O$19,COLUMN(E16)-COLUMN($D$8)+1,ROW(E16)-ROW($D$8)+1)</f>
        <v>0.14285714285714285</v>
      </c>
      <c r="F16" s="4" cm="1">
        <f t="array" ref="F16">1/INDEX($D$8:$O$19,COLUMN(F16)-COLUMN($D$8)+1,ROW(F16)-ROW($D$8)+1)</f>
        <v>0.16666666666666666</v>
      </c>
      <c r="G16" s="4" cm="1">
        <f t="array" ref="G16">1/INDEX($D$8:$O$19,COLUMN(G16)-COLUMN($D$8)+1,ROW(G16)-ROW($D$8)+1)</f>
        <v>0.16666666666666666</v>
      </c>
      <c r="H16" s="4" cm="1">
        <f t="array" ref="H16">1/INDEX($D$8:$O$19,COLUMN(H16)-COLUMN($D$8)+1,ROW(H16)-ROW($D$8)+1)</f>
        <v>0.16666666666666666</v>
      </c>
      <c r="I16" s="4" cm="1">
        <f t="array" ref="I16">1/INDEX($D$8:$O$19,COLUMN(I16)-COLUMN($D$8)+1,ROW(I16)-ROW($D$8)+1)</f>
        <v>0.33333333333333331</v>
      </c>
      <c r="J16" s="4" cm="1">
        <f t="array" ref="J16">1/INDEX($D$8:$O$19,COLUMN(J16)-COLUMN($D$8)+1,ROW(J16)-ROW($D$8)+1)</f>
        <v>0.5</v>
      </c>
      <c r="K16" s="4" cm="1">
        <f t="array" ref="K16">1/INDEX($D$8:$O$19,COLUMN(K16)-COLUMN($D$8)+1,ROW(K16)-ROW($D$8)+1)</f>
        <v>1</v>
      </c>
      <c r="L16" s="13">
        <v>1</v>
      </c>
      <c r="M16" s="3">
        <v>1</v>
      </c>
      <c r="N16" s="3">
        <v>1</v>
      </c>
      <c r="O16" s="3">
        <v>2</v>
      </c>
    </row>
    <row r="17" spans="3:15" x14ac:dyDescent="0.25">
      <c r="C17" s="5">
        <f t="shared" si="1"/>
        <v>25</v>
      </c>
      <c r="D17" s="4" cm="1">
        <f t="array" ref="D17">1/INDEX($D$8:$O$19,COLUMN(D17)-COLUMN($D$8)+1,ROW(D17)-ROW($D$8)+1)</f>
        <v>0.125</v>
      </c>
      <c r="E17" s="4" cm="1">
        <f t="array" ref="E17">1/INDEX($D$8:$O$19,COLUMN(E17)-COLUMN($D$8)+1,ROW(E17)-ROW($D$8)+1)</f>
        <v>0.125</v>
      </c>
      <c r="F17" s="4" cm="1">
        <f t="array" ref="F17">1/INDEX($D$8:$O$19,COLUMN(F17)-COLUMN($D$8)+1,ROW(F17)-ROW($D$8)+1)</f>
        <v>0.14285714285714285</v>
      </c>
      <c r="G17" s="4" cm="1">
        <f t="array" ref="G17">1/INDEX($D$8:$O$19,COLUMN(G17)-COLUMN($D$8)+1,ROW(G17)-ROW($D$8)+1)</f>
        <v>0.14285714285714285</v>
      </c>
      <c r="H17" s="4" cm="1">
        <f t="array" ref="H17">1/INDEX($D$8:$O$19,COLUMN(H17)-COLUMN($D$8)+1,ROW(H17)-ROW($D$8)+1)</f>
        <v>0.14285714285714285</v>
      </c>
      <c r="I17" s="4" cm="1">
        <f t="array" ref="I17">1/INDEX($D$8:$O$19,COLUMN(I17)-COLUMN($D$8)+1,ROW(I17)-ROW($D$8)+1)</f>
        <v>0.25</v>
      </c>
      <c r="J17" s="4" cm="1">
        <f t="array" ref="J17">1/INDEX($D$8:$O$19,COLUMN(J17)-COLUMN($D$8)+1,ROW(J17)-ROW($D$8)+1)</f>
        <v>0.5</v>
      </c>
      <c r="K17" s="4" cm="1">
        <f t="array" ref="K17">1/INDEX($D$8:$O$19,COLUMN(K17)-COLUMN($D$8)+1,ROW(K17)-ROW($D$8)+1)</f>
        <v>1</v>
      </c>
      <c r="L17" s="4" cm="1">
        <f t="array" ref="L17">1/INDEX($D$8:$O$19,COLUMN(L17)-COLUMN($D$8)+1,ROW(L17)-ROW($D$8)+1)</f>
        <v>1</v>
      </c>
      <c r="M17" s="13">
        <v>1</v>
      </c>
      <c r="N17" s="3">
        <v>1</v>
      </c>
      <c r="O17" s="3">
        <v>1</v>
      </c>
    </row>
    <row r="18" spans="3:15" x14ac:dyDescent="0.25">
      <c r="C18" s="5">
        <f t="shared" si="1"/>
        <v>30</v>
      </c>
      <c r="D18" s="4" cm="1">
        <f t="array" ref="D18">1/INDEX($D$8:$O$19,COLUMN(D18)-COLUMN($D$8)+1,ROW(D18)-ROW($D$8)+1)</f>
        <v>0.1111111111111111</v>
      </c>
      <c r="E18" s="4" cm="1">
        <f t="array" ref="E18">1/INDEX($D$8:$O$19,COLUMN(E18)-COLUMN($D$8)+1,ROW(E18)-ROW($D$8)+1)</f>
        <v>0.125</v>
      </c>
      <c r="F18" s="4" cm="1">
        <f t="array" ref="F18">1/INDEX($D$8:$O$19,COLUMN(F18)-COLUMN($D$8)+1,ROW(F18)-ROW($D$8)+1)</f>
        <v>0.125</v>
      </c>
      <c r="G18" s="4" cm="1">
        <f t="array" ref="G18">1/INDEX($D$8:$O$19,COLUMN(G18)-COLUMN($D$8)+1,ROW(G18)-ROW($D$8)+1)</f>
        <v>0.125</v>
      </c>
      <c r="H18" s="4" cm="1">
        <f t="array" ref="H18">1/INDEX($D$8:$O$19,COLUMN(H18)-COLUMN($D$8)+1,ROW(H18)-ROW($D$8)+1)</f>
        <v>0.14285714285714285</v>
      </c>
      <c r="I18" s="4" cm="1">
        <f t="array" ref="I18">1/INDEX($D$8:$O$19,COLUMN(I18)-COLUMN($D$8)+1,ROW(I18)-ROW($D$8)+1)</f>
        <v>0.25</v>
      </c>
      <c r="J18" s="4" cm="1">
        <f t="array" ref="J18">1/INDEX($D$8:$O$19,COLUMN(J18)-COLUMN($D$8)+1,ROW(J18)-ROW($D$8)+1)</f>
        <v>0.33333333333333331</v>
      </c>
      <c r="K18" s="4" cm="1">
        <f t="array" ref="K18">1/INDEX($D$8:$O$19,COLUMN(K18)-COLUMN($D$8)+1,ROW(K18)-ROW($D$8)+1)</f>
        <v>1</v>
      </c>
      <c r="L18" s="4" cm="1">
        <f t="array" ref="L18">1/INDEX($D$8:$O$19,COLUMN(L18)-COLUMN($D$8)+1,ROW(L18)-ROW($D$8)+1)</f>
        <v>1</v>
      </c>
      <c r="M18" s="4" cm="1">
        <f t="array" ref="M18">1/INDEX($D$8:$O$19,COLUMN(M18)-COLUMN($D$8)+1,ROW(M18)-ROW($D$8)+1)</f>
        <v>1</v>
      </c>
      <c r="N18" s="13">
        <v>1</v>
      </c>
      <c r="O18" s="3">
        <v>1</v>
      </c>
    </row>
    <row r="19" spans="3:15" ht="15.75" thickBot="1" x14ac:dyDescent="0.3">
      <c r="C19" s="6">
        <f t="shared" si="1"/>
        <v>35</v>
      </c>
      <c r="D19" s="4" cm="1">
        <f t="array" ref="D19">1/INDEX($D$8:$O$19,COLUMN(D19)-COLUMN($D$8)+1,ROW(D19)-ROW($D$8)+1)</f>
        <v>0.1111111111111111</v>
      </c>
      <c r="E19" s="4" cm="1">
        <f t="array" ref="E19">1/INDEX($D$8:$O$19,COLUMN(E19)-COLUMN($D$8)+1,ROW(E19)-ROW($D$8)+1)</f>
        <v>0.1111111111111111</v>
      </c>
      <c r="F19" s="4" cm="1">
        <f t="array" ref="F19">1/INDEX($D$8:$O$19,COLUMN(F19)-COLUMN($D$8)+1,ROW(F19)-ROW($D$8)+1)</f>
        <v>0.1111111111111111</v>
      </c>
      <c r="G19" s="4" cm="1">
        <f t="array" ref="G19">1/INDEX($D$8:$O$19,COLUMN(G19)-COLUMN($D$8)+1,ROW(G19)-ROW($D$8)+1)</f>
        <v>0.1111111111111111</v>
      </c>
      <c r="H19" s="4" cm="1">
        <f t="array" ref="H19">1/INDEX($D$8:$O$19,COLUMN(H19)-COLUMN($D$8)+1,ROW(H19)-ROW($D$8)+1)</f>
        <v>0.125</v>
      </c>
      <c r="I19" s="4" cm="1">
        <f t="array" ref="I19">1/INDEX($D$8:$O$19,COLUMN(I19)-COLUMN($D$8)+1,ROW(I19)-ROW($D$8)+1)</f>
        <v>0.2</v>
      </c>
      <c r="J19" s="4" cm="1">
        <f t="array" ref="J19">1/INDEX($D$8:$O$19,COLUMN(J19)-COLUMN($D$8)+1,ROW(J19)-ROW($D$8)+1)</f>
        <v>0.33333333333333331</v>
      </c>
      <c r="K19" s="4" cm="1">
        <f t="array" ref="K19">1/INDEX($D$8:$O$19,COLUMN(K19)-COLUMN($D$8)+1,ROW(K19)-ROW($D$8)+1)</f>
        <v>0.5</v>
      </c>
      <c r="L19" s="4" cm="1">
        <f t="array" ref="L19">1/INDEX($D$8:$O$19,COLUMN(L19)-COLUMN($D$8)+1,ROW(L19)-ROW($D$8)+1)</f>
        <v>0.5</v>
      </c>
      <c r="M19" s="4" cm="1">
        <f t="array" ref="M19">1/INDEX($D$8:$O$19,COLUMN(M19)-COLUMN($D$8)+1,ROW(M19)-ROW($D$8)+1)</f>
        <v>1</v>
      </c>
      <c r="N19" s="4" cm="1">
        <f t="array" ref="N19">1/INDEX($D$8:$O$19,COLUMN(N19)-COLUMN($D$8)+1,ROW(N19)-ROW($D$8)+1)</f>
        <v>1</v>
      </c>
      <c r="O19" s="13">
        <v>1</v>
      </c>
    </row>
    <row r="21" spans="3:15" ht="15.75" thickBot="1" x14ac:dyDescent="0.3"/>
    <row r="22" spans="3:15" ht="15.75" thickBot="1" x14ac:dyDescent="0.3">
      <c r="C22" s="14" t="s">
        <v>2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</row>
    <row r="23" spans="3:15" ht="15.75" thickBot="1" x14ac:dyDescent="0.3">
      <c r="C23" s="8"/>
      <c r="D23" s="9">
        <v>-20</v>
      </c>
      <c r="E23" s="10">
        <v>-15</v>
      </c>
      <c r="F23" s="10">
        <f>E23+5</f>
        <v>-10</v>
      </c>
      <c r="G23" s="10">
        <f t="shared" ref="G23:J23" si="2">F23+5</f>
        <v>-5</v>
      </c>
      <c r="H23" s="10">
        <f t="shared" si="2"/>
        <v>0</v>
      </c>
      <c r="I23" s="10">
        <f t="shared" si="2"/>
        <v>5</v>
      </c>
      <c r="J23" s="10">
        <f t="shared" si="2"/>
        <v>10</v>
      </c>
      <c r="K23" s="10">
        <f>J23+5</f>
        <v>15</v>
      </c>
      <c r="L23" s="10">
        <f t="shared" ref="L23:O23" si="3">K23+5</f>
        <v>20</v>
      </c>
      <c r="M23" s="10">
        <f t="shared" si="3"/>
        <v>25</v>
      </c>
      <c r="N23" s="10">
        <f t="shared" si="3"/>
        <v>30</v>
      </c>
      <c r="O23" s="11">
        <f t="shared" si="3"/>
        <v>35</v>
      </c>
    </row>
    <row r="24" spans="3:15" x14ac:dyDescent="0.25">
      <c r="C24" s="7">
        <f>-20</f>
        <v>-20</v>
      </c>
      <c r="D24" s="12">
        <v>1</v>
      </c>
      <c r="E24" s="3">
        <v>2</v>
      </c>
      <c r="F24" s="3">
        <v>3</v>
      </c>
      <c r="G24" s="3">
        <v>4</v>
      </c>
      <c r="H24" s="3">
        <v>5</v>
      </c>
      <c r="I24" s="3">
        <v>6</v>
      </c>
      <c r="J24" s="3">
        <v>7</v>
      </c>
      <c r="K24" s="3">
        <v>8</v>
      </c>
      <c r="L24" s="3">
        <v>8</v>
      </c>
      <c r="M24" s="3">
        <v>8</v>
      </c>
      <c r="N24" s="3">
        <v>9</v>
      </c>
      <c r="O24" s="3">
        <v>9</v>
      </c>
    </row>
    <row r="25" spans="3:15" x14ac:dyDescent="0.25">
      <c r="C25" s="5">
        <f t="shared" ref="C25:C35" si="4">C24+5</f>
        <v>-15</v>
      </c>
      <c r="D25" s="4" cm="1">
        <f t="array" ref="D25">1/INDEX($D$24:$O$35,COLUMN(D25)-COLUMN($D$24)+1,ROW(D25)-ROW($D$24)+1)</f>
        <v>0.5</v>
      </c>
      <c r="E25" s="13">
        <v>1</v>
      </c>
      <c r="F25" s="3">
        <v>1</v>
      </c>
      <c r="G25" s="3">
        <v>2</v>
      </c>
      <c r="H25" s="3">
        <v>3</v>
      </c>
      <c r="I25" s="3">
        <v>4</v>
      </c>
      <c r="J25" s="3">
        <v>4</v>
      </c>
      <c r="K25" s="3">
        <v>5</v>
      </c>
      <c r="L25" s="3">
        <v>6</v>
      </c>
      <c r="M25" s="3">
        <v>7</v>
      </c>
      <c r="N25" s="3">
        <v>8</v>
      </c>
      <c r="O25" s="3">
        <v>9</v>
      </c>
    </row>
    <row r="26" spans="3:15" x14ac:dyDescent="0.25">
      <c r="C26" s="5">
        <f t="shared" si="4"/>
        <v>-10</v>
      </c>
      <c r="D26" s="4" cm="1">
        <f t="array" ref="D26">1/INDEX($D$24:$O$35,COLUMN(D26)-COLUMN($D$24)+1,ROW(D26)-ROW($D$24)+1)</f>
        <v>0.33333333333333331</v>
      </c>
      <c r="E26" s="4" cm="1">
        <f t="array" ref="E26">1/INDEX($D$24:$O$35,COLUMN(E26)-COLUMN($D$24)+1,ROW(E26)-ROW($D$24)+1)</f>
        <v>1</v>
      </c>
      <c r="F26" s="13">
        <v>1</v>
      </c>
      <c r="G26" s="3">
        <v>1</v>
      </c>
      <c r="H26" s="3">
        <v>2</v>
      </c>
      <c r="I26" s="3">
        <v>3</v>
      </c>
      <c r="J26" s="3">
        <v>4</v>
      </c>
      <c r="K26" s="3">
        <v>5</v>
      </c>
      <c r="L26" s="3">
        <v>6</v>
      </c>
      <c r="M26" s="3">
        <v>7</v>
      </c>
      <c r="N26" s="3">
        <v>8</v>
      </c>
      <c r="O26" s="3">
        <v>9</v>
      </c>
    </row>
    <row r="27" spans="3:15" x14ac:dyDescent="0.25">
      <c r="C27" s="5">
        <f t="shared" si="4"/>
        <v>-5</v>
      </c>
      <c r="D27" s="4" cm="1">
        <f t="array" ref="D27">1/INDEX($D$24:$O$35,COLUMN(D27)-COLUMN($D$24)+1,ROW(D27)-ROW($D$24)+1)</f>
        <v>0.25</v>
      </c>
      <c r="E27" s="4" cm="1">
        <f t="array" ref="E27">1/INDEX($D$24:$O$35,COLUMN(E27)-COLUMN($D$24)+1,ROW(E27)-ROW($D$24)+1)</f>
        <v>0.5</v>
      </c>
      <c r="F27" s="4" cm="1">
        <f t="array" ref="F27">1/INDEX($D$24:$O$35,COLUMN(F27)-COLUMN($D$24)+1,ROW(F27)-ROW($D$24)+1)</f>
        <v>1</v>
      </c>
      <c r="G27" s="13">
        <v>1</v>
      </c>
      <c r="H27" s="3">
        <v>2</v>
      </c>
      <c r="I27" s="3">
        <v>3</v>
      </c>
      <c r="J27" s="3">
        <v>4</v>
      </c>
      <c r="K27" s="3">
        <v>5</v>
      </c>
      <c r="L27" s="3">
        <v>6</v>
      </c>
      <c r="M27" s="3">
        <v>7</v>
      </c>
      <c r="N27" s="3">
        <v>8</v>
      </c>
      <c r="O27" s="3">
        <v>9</v>
      </c>
    </row>
    <row r="28" spans="3:15" x14ac:dyDescent="0.25">
      <c r="C28" s="5">
        <f t="shared" si="4"/>
        <v>0</v>
      </c>
      <c r="D28" s="4" cm="1">
        <f t="array" ref="D28">1/INDEX($D$24:$O$35,COLUMN(D28)-COLUMN($D$24)+1,ROW(D28)-ROW($D$24)+1)</f>
        <v>0.2</v>
      </c>
      <c r="E28" s="4" cm="1">
        <f t="array" ref="E28">1/INDEX($D$24:$O$35,COLUMN(E28)-COLUMN($D$24)+1,ROW(E28)-ROW($D$24)+1)</f>
        <v>0.33333333333333331</v>
      </c>
      <c r="F28" s="4" cm="1">
        <f t="array" ref="F28">1/INDEX($D$24:$O$35,COLUMN(F28)-COLUMN($D$24)+1,ROW(F28)-ROW($D$24)+1)</f>
        <v>0.5</v>
      </c>
      <c r="G28" s="4" cm="1">
        <f t="array" ref="G28">1/INDEX($D$24:$O$35,COLUMN(G28)-COLUMN($D$24)+1,ROW(G28)-ROW($D$24)+1)</f>
        <v>0.5</v>
      </c>
      <c r="H28" s="13">
        <v>1</v>
      </c>
      <c r="I28" s="3">
        <v>3</v>
      </c>
      <c r="J28" s="3">
        <v>4</v>
      </c>
      <c r="K28" s="3">
        <v>5</v>
      </c>
      <c r="L28" s="3">
        <v>6</v>
      </c>
      <c r="M28" s="3">
        <v>7</v>
      </c>
      <c r="N28" s="3">
        <v>8</v>
      </c>
      <c r="O28" s="3">
        <v>9</v>
      </c>
    </row>
    <row r="29" spans="3:15" x14ac:dyDescent="0.25">
      <c r="C29" s="5">
        <f t="shared" si="4"/>
        <v>5</v>
      </c>
      <c r="D29" s="4" cm="1">
        <f t="array" ref="D29">1/INDEX($D$24:$O$35,COLUMN(D29)-COLUMN($D$24)+1,ROW(D29)-ROW($D$24)+1)</f>
        <v>0.16666666666666666</v>
      </c>
      <c r="E29" s="4" cm="1">
        <f t="array" ref="E29">1/INDEX($D$24:$O$35,COLUMN(E29)-COLUMN($D$24)+1,ROW(E29)-ROW($D$24)+1)</f>
        <v>0.25</v>
      </c>
      <c r="F29" s="4" cm="1">
        <f t="array" ref="F29">1/INDEX($D$24:$O$35,COLUMN(F29)-COLUMN($D$24)+1,ROW(F29)-ROW($D$24)+1)</f>
        <v>0.33333333333333331</v>
      </c>
      <c r="G29" s="4" cm="1">
        <f t="array" ref="G29">1/INDEX($D$24:$O$35,COLUMN(G29)-COLUMN($D$24)+1,ROW(G29)-ROW($D$24)+1)</f>
        <v>0.33333333333333331</v>
      </c>
      <c r="H29" s="4" cm="1">
        <f t="array" ref="H29">1/INDEX($D$24:$O$35,COLUMN(H29)-COLUMN($D$24)+1,ROW(H29)-ROW($D$24)+1)</f>
        <v>0.33333333333333331</v>
      </c>
      <c r="I29" s="13">
        <v>1</v>
      </c>
      <c r="J29" s="3">
        <v>3</v>
      </c>
      <c r="K29" s="3">
        <v>3</v>
      </c>
      <c r="L29" s="3">
        <v>4</v>
      </c>
      <c r="M29" s="3">
        <v>5</v>
      </c>
      <c r="N29" s="3">
        <v>6</v>
      </c>
      <c r="O29" s="3">
        <v>6</v>
      </c>
    </row>
    <row r="30" spans="3:15" x14ac:dyDescent="0.25">
      <c r="C30" s="5">
        <f t="shared" si="4"/>
        <v>10</v>
      </c>
      <c r="D30" s="4" cm="1">
        <f t="array" ref="D30">1/INDEX($D$24:$O$35,COLUMN(D30)-COLUMN($D$24)+1,ROW(D30)-ROW($D$24)+1)</f>
        <v>0.14285714285714285</v>
      </c>
      <c r="E30" s="4" cm="1">
        <f t="array" ref="E30">1/INDEX($D$24:$O$35,COLUMN(E30)-COLUMN($D$24)+1,ROW(E30)-ROW($D$24)+1)</f>
        <v>0.25</v>
      </c>
      <c r="F30" s="4" cm="1">
        <f t="array" ref="F30">1/INDEX($D$24:$O$35,COLUMN(F30)-COLUMN($D$24)+1,ROW(F30)-ROW($D$24)+1)</f>
        <v>0.25</v>
      </c>
      <c r="G30" s="4" cm="1">
        <f t="array" ref="G30">1/INDEX($D$24:$O$35,COLUMN(G30)-COLUMN($D$24)+1,ROW(G30)-ROW($D$24)+1)</f>
        <v>0.25</v>
      </c>
      <c r="H30" s="4" cm="1">
        <f t="array" ref="H30">1/INDEX($D$24:$O$35,COLUMN(H30)-COLUMN($D$24)+1,ROW(H30)-ROW($D$24)+1)</f>
        <v>0.25</v>
      </c>
      <c r="I30" s="4" cm="1">
        <f t="array" ref="I30">1/INDEX($D$24:$O$35,COLUMN(I30)-COLUMN($D$24)+1,ROW(I30)-ROW($D$24)+1)</f>
        <v>0.33333333333333331</v>
      </c>
      <c r="J30" s="13">
        <v>1</v>
      </c>
      <c r="K30" s="3">
        <v>2</v>
      </c>
      <c r="L30" s="3">
        <v>2</v>
      </c>
      <c r="M30" s="3">
        <v>3</v>
      </c>
      <c r="N30" s="3">
        <v>3</v>
      </c>
      <c r="O30" s="3">
        <v>3</v>
      </c>
    </row>
    <row r="31" spans="3:15" x14ac:dyDescent="0.25">
      <c r="C31" s="5">
        <f t="shared" si="4"/>
        <v>15</v>
      </c>
      <c r="D31" s="4" cm="1">
        <f t="array" ref="D31">1/INDEX($D$24:$O$35,COLUMN(D31)-COLUMN($D$24)+1,ROW(D31)-ROW($D$24)+1)</f>
        <v>0.125</v>
      </c>
      <c r="E31" s="4" cm="1">
        <f t="array" ref="E31">1/INDEX($D$24:$O$35,COLUMN(E31)-COLUMN($D$24)+1,ROW(E31)-ROW($D$24)+1)</f>
        <v>0.2</v>
      </c>
      <c r="F31" s="4" cm="1">
        <f t="array" ref="F31">1/INDEX($D$24:$O$35,COLUMN(F31)-COLUMN($D$24)+1,ROW(F31)-ROW($D$24)+1)</f>
        <v>0.2</v>
      </c>
      <c r="G31" s="4" cm="1">
        <f t="array" ref="G31">1/INDEX($D$24:$O$35,COLUMN(G31)-COLUMN($D$24)+1,ROW(G31)-ROW($D$24)+1)</f>
        <v>0.2</v>
      </c>
      <c r="H31" s="4" cm="1">
        <f t="array" ref="H31">1/INDEX($D$24:$O$35,COLUMN(H31)-COLUMN($D$24)+1,ROW(H31)-ROW($D$24)+1)</f>
        <v>0.2</v>
      </c>
      <c r="I31" s="4" cm="1">
        <f t="array" ref="I31">1/INDEX($D$24:$O$35,COLUMN(I31)-COLUMN($D$24)+1,ROW(I31)-ROW($D$24)+1)</f>
        <v>0.33333333333333331</v>
      </c>
      <c r="J31" s="4" cm="1">
        <f t="array" ref="J31">1/INDEX($D$24:$O$35,COLUMN(J31)-COLUMN($D$24)+1,ROW(J31)-ROW($D$24)+1)</f>
        <v>0.5</v>
      </c>
      <c r="K31" s="13">
        <v>1</v>
      </c>
      <c r="L31" s="3">
        <v>1</v>
      </c>
      <c r="M31" s="3">
        <v>1</v>
      </c>
      <c r="N31" s="3">
        <v>2</v>
      </c>
      <c r="O31" s="3">
        <v>2</v>
      </c>
    </row>
    <row r="32" spans="3:15" x14ac:dyDescent="0.25">
      <c r="C32" s="5">
        <f t="shared" si="4"/>
        <v>20</v>
      </c>
      <c r="D32" s="4" cm="1">
        <f t="array" ref="D32">1/INDEX($D$24:$O$35,COLUMN(D32)-COLUMN($D$24)+1,ROW(D32)-ROW($D$24)+1)</f>
        <v>0.125</v>
      </c>
      <c r="E32" s="4" cm="1">
        <f t="array" ref="E32">1/INDEX($D$24:$O$35,COLUMN(E32)-COLUMN($D$24)+1,ROW(E32)-ROW($D$24)+1)</f>
        <v>0.16666666666666666</v>
      </c>
      <c r="F32" s="4" cm="1">
        <f t="array" ref="F32">1/INDEX($D$24:$O$35,COLUMN(F32)-COLUMN($D$24)+1,ROW(F32)-ROW($D$24)+1)</f>
        <v>0.16666666666666666</v>
      </c>
      <c r="G32" s="4" cm="1">
        <f t="array" ref="G32">1/INDEX($D$24:$O$35,COLUMN(G32)-COLUMN($D$24)+1,ROW(G32)-ROW($D$24)+1)</f>
        <v>0.16666666666666666</v>
      </c>
      <c r="H32" s="4" cm="1">
        <f t="array" ref="H32">1/INDEX($D$24:$O$35,COLUMN(H32)-COLUMN($D$24)+1,ROW(H32)-ROW($D$24)+1)</f>
        <v>0.16666666666666666</v>
      </c>
      <c r="I32" s="4" cm="1">
        <f t="array" ref="I32">1/INDEX($D$24:$O$35,COLUMN(I32)-COLUMN($D$24)+1,ROW(I32)-ROW($D$24)+1)</f>
        <v>0.25</v>
      </c>
      <c r="J32" s="4" cm="1">
        <f t="array" ref="J32">1/INDEX($D$24:$O$35,COLUMN(J32)-COLUMN($D$24)+1,ROW(J32)-ROW($D$24)+1)</f>
        <v>0.5</v>
      </c>
      <c r="K32" s="4" cm="1">
        <f t="array" ref="K32">1/INDEX($D$24:$O$35,COLUMN(K32)-COLUMN($D$24)+1,ROW(K32)-ROW($D$24)+1)</f>
        <v>1</v>
      </c>
      <c r="L32" s="13">
        <v>1</v>
      </c>
      <c r="M32" s="3">
        <v>1</v>
      </c>
      <c r="N32" s="3">
        <v>1</v>
      </c>
      <c r="O32" s="3">
        <v>2</v>
      </c>
    </row>
    <row r="33" spans="3:15" x14ac:dyDescent="0.25">
      <c r="C33" s="5">
        <f t="shared" si="4"/>
        <v>25</v>
      </c>
      <c r="D33" s="4" cm="1">
        <f t="array" ref="D33">1/INDEX($D$24:$O$35,COLUMN(D33)-COLUMN($D$24)+1,ROW(D33)-ROW($D$24)+1)</f>
        <v>0.125</v>
      </c>
      <c r="E33" s="4" cm="1">
        <f t="array" ref="E33">1/INDEX($D$24:$O$35,COLUMN(E33)-COLUMN($D$24)+1,ROW(E33)-ROW($D$24)+1)</f>
        <v>0.14285714285714285</v>
      </c>
      <c r="F33" s="4" cm="1">
        <f t="array" ref="F33">1/INDEX($D$24:$O$35,COLUMN(F33)-COLUMN($D$24)+1,ROW(F33)-ROW($D$24)+1)</f>
        <v>0.14285714285714285</v>
      </c>
      <c r="G33" s="4" cm="1">
        <f t="array" ref="G33">1/INDEX($D$24:$O$35,COLUMN(G33)-COLUMN($D$24)+1,ROW(G33)-ROW($D$24)+1)</f>
        <v>0.14285714285714285</v>
      </c>
      <c r="H33" s="4" cm="1">
        <f t="array" ref="H33">1/INDEX($D$24:$O$35,COLUMN(H33)-COLUMN($D$24)+1,ROW(H33)-ROW($D$24)+1)</f>
        <v>0.14285714285714285</v>
      </c>
      <c r="I33" s="4" cm="1">
        <f t="array" ref="I33">1/INDEX($D$24:$O$35,COLUMN(I33)-COLUMN($D$24)+1,ROW(I33)-ROW($D$24)+1)</f>
        <v>0.2</v>
      </c>
      <c r="J33" s="4" cm="1">
        <f t="array" ref="J33">1/INDEX($D$24:$O$35,COLUMN(J33)-COLUMN($D$24)+1,ROW(J33)-ROW($D$24)+1)</f>
        <v>0.33333333333333331</v>
      </c>
      <c r="K33" s="4" cm="1">
        <f t="array" ref="K33">1/INDEX($D$24:$O$35,COLUMN(K33)-COLUMN($D$24)+1,ROW(K33)-ROW($D$24)+1)</f>
        <v>1</v>
      </c>
      <c r="L33" s="4" cm="1">
        <f t="array" ref="L33">1/INDEX($D$24:$O$35,COLUMN(L33)-COLUMN($D$24)+1,ROW(L33)-ROW($D$24)+1)</f>
        <v>1</v>
      </c>
      <c r="M33" s="13">
        <v>1</v>
      </c>
      <c r="N33" s="3" cm="1">
        <f t="array" ref="N33">1/INDEX($D$24:$O$35,COLUMN(N33)-COLUMN($D$24)+1,ROW(N33)-ROW($D$24)+1)</f>
        <v>1</v>
      </c>
      <c r="O33" s="3">
        <v>1</v>
      </c>
    </row>
    <row r="34" spans="3:15" x14ac:dyDescent="0.25">
      <c r="C34" s="5">
        <f t="shared" si="4"/>
        <v>30</v>
      </c>
      <c r="D34" s="4" cm="1">
        <f t="array" ref="D34">1/INDEX($D$24:$O$35,COLUMN(D34)-COLUMN($D$24)+1,ROW(D34)-ROW($D$24)+1)</f>
        <v>0.1111111111111111</v>
      </c>
      <c r="E34" s="4" cm="1">
        <f t="array" ref="E34">1/INDEX($D$24:$O$35,COLUMN(E34)-COLUMN($D$24)+1,ROW(E34)-ROW($D$24)+1)</f>
        <v>0.125</v>
      </c>
      <c r="F34" s="4" cm="1">
        <f t="array" ref="F34">1/INDEX($D$24:$O$35,COLUMN(F34)-COLUMN($D$24)+1,ROW(F34)-ROW($D$24)+1)</f>
        <v>0.125</v>
      </c>
      <c r="G34" s="4" cm="1">
        <f t="array" ref="G34">1/INDEX($D$24:$O$35,COLUMN(G34)-COLUMN($D$24)+1,ROW(G34)-ROW($D$24)+1)</f>
        <v>0.125</v>
      </c>
      <c r="H34" s="4" cm="1">
        <f t="array" ref="H34">1/INDEX($D$24:$O$35,COLUMN(H34)-COLUMN($D$24)+1,ROW(H34)-ROW($D$24)+1)</f>
        <v>0.125</v>
      </c>
      <c r="I34" s="4" cm="1">
        <f t="array" ref="I34">1/INDEX($D$24:$O$35,COLUMN(I34)-COLUMN($D$24)+1,ROW(I34)-ROW($D$24)+1)</f>
        <v>0.16666666666666666</v>
      </c>
      <c r="J34" s="4" cm="1">
        <f t="array" ref="J34">1/INDEX($D$24:$O$35,COLUMN(J34)-COLUMN($D$24)+1,ROW(J34)-ROW($D$24)+1)</f>
        <v>0.33333333333333331</v>
      </c>
      <c r="K34" s="4" cm="1">
        <f t="array" ref="K34">1/INDEX($D$24:$O$35,COLUMN(K34)-COLUMN($D$24)+1,ROW(K34)-ROW($D$24)+1)</f>
        <v>0.5</v>
      </c>
      <c r="L34" s="4" cm="1">
        <f t="array" ref="L34">1/INDEX($D$24:$O$35,COLUMN(L34)-COLUMN($D$24)+1,ROW(L34)-ROW($D$24)+1)</f>
        <v>1</v>
      </c>
      <c r="M34" s="1">
        <v>1</v>
      </c>
      <c r="N34" s="13">
        <v>1</v>
      </c>
      <c r="O34" s="3">
        <v>1</v>
      </c>
    </row>
    <row r="35" spans="3:15" ht="15.75" thickBot="1" x14ac:dyDescent="0.3">
      <c r="C35" s="6">
        <f t="shared" si="4"/>
        <v>35</v>
      </c>
      <c r="D35" s="4" cm="1">
        <f t="array" ref="D35">1/INDEX($D$24:$O$35,COLUMN(D35)-COLUMN($D$24)+1,ROW(D35)-ROW($D$24)+1)</f>
        <v>0.1111111111111111</v>
      </c>
      <c r="E35" s="4" cm="1">
        <f t="array" ref="E35">1/INDEX($D$24:$O$35,COLUMN(E35)-COLUMN($D$24)+1,ROW(E35)-ROW($D$24)+1)</f>
        <v>0.1111111111111111</v>
      </c>
      <c r="F35" s="4" cm="1">
        <f t="array" ref="F35">1/INDEX($D$24:$O$35,COLUMN(F35)-COLUMN($D$24)+1,ROW(F35)-ROW($D$24)+1)</f>
        <v>0.1111111111111111</v>
      </c>
      <c r="G35" s="4" cm="1">
        <f t="array" ref="G35">1/INDEX($D$24:$O$35,COLUMN(G35)-COLUMN($D$24)+1,ROW(G35)-ROW($D$24)+1)</f>
        <v>0.1111111111111111</v>
      </c>
      <c r="H35" s="4" cm="1">
        <f t="array" ref="H35">1/INDEX($D$24:$O$35,COLUMN(H35)-COLUMN($D$24)+1,ROW(H35)-ROW($D$24)+1)</f>
        <v>0.1111111111111111</v>
      </c>
      <c r="I35" s="4" cm="1">
        <f t="array" ref="I35">1/INDEX($D$24:$O$35,COLUMN(I35)-COLUMN($D$24)+1,ROW(I35)-ROW($D$24)+1)</f>
        <v>0.16666666666666666</v>
      </c>
      <c r="J35" s="4" cm="1">
        <f t="array" ref="J35">1/INDEX($D$24:$O$35,COLUMN(J35)-COLUMN($D$24)+1,ROW(J35)-ROW($D$24)+1)</f>
        <v>0.33333333333333331</v>
      </c>
      <c r="K35" s="4" cm="1">
        <f t="array" ref="K35">1/INDEX($D$24:$O$35,COLUMN(K35)-COLUMN($D$24)+1,ROW(K35)-ROW($D$24)+1)</f>
        <v>0.5</v>
      </c>
      <c r="L35" s="4" cm="1">
        <f t="array" ref="L35">1/INDEX($D$24:$O$35,COLUMN(L35)-COLUMN($D$24)+1,ROW(L35)-ROW($D$24)+1)</f>
        <v>0.5</v>
      </c>
      <c r="M35" s="4" cm="1">
        <f t="array" ref="M35">1/INDEX($D$24:$O$35,COLUMN(M35)-COLUMN($D$24)+1,ROW(M35)-ROW($D$24)+1)</f>
        <v>1</v>
      </c>
      <c r="N35" s="4">
        <v>1</v>
      </c>
      <c r="O35" s="13">
        <v>1</v>
      </c>
    </row>
    <row r="37" spans="3:15" ht="15.75" thickBot="1" x14ac:dyDescent="0.3"/>
    <row r="38" spans="3:15" ht="15.75" thickBot="1" x14ac:dyDescent="0.3">
      <c r="C38" s="14" t="s">
        <v>3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</row>
    <row r="39" spans="3:15" ht="15.75" thickBot="1" x14ac:dyDescent="0.3">
      <c r="C39" s="8"/>
      <c r="D39" s="9">
        <v>-20</v>
      </c>
      <c r="E39" s="10">
        <v>-15</v>
      </c>
      <c r="F39" s="10">
        <f>E39+5</f>
        <v>-10</v>
      </c>
      <c r="G39" s="10">
        <f t="shared" ref="G39:J39" si="5">F39+5</f>
        <v>-5</v>
      </c>
      <c r="H39" s="10">
        <f t="shared" si="5"/>
        <v>0</v>
      </c>
      <c r="I39" s="10">
        <f t="shared" si="5"/>
        <v>5</v>
      </c>
      <c r="J39" s="10">
        <f t="shared" si="5"/>
        <v>10</v>
      </c>
      <c r="K39" s="10">
        <f>J39+5</f>
        <v>15</v>
      </c>
      <c r="L39" s="10">
        <f t="shared" ref="L39:O39" si="6">K39+5</f>
        <v>20</v>
      </c>
      <c r="M39" s="10">
        <f t="shared" si="6"/>
        <v>25</v>
      </c>
      <c r="N39" s="10">
        <f t="shared" si="6"/>
        <v>30</v>
      </c>
      <c r="O39" s="11">
        <f t="shared" si="6"/>
        <v>35</v>
      </c>
    </row>
    <row r="40" spans="3:15" x14ac:dyDescent="0.25">
      <c r="C40" s="7">
        <f>-20</f>
        <v>-20</v>
      </c>
      <c r="D40" s="12">
        <v>1</v>
      </c>
      <c r="E40" s="3" cm="1">
        <f t="array" ref="E40">1/INDEX('lab6'!$D$40:$O$51,COLUMN(E40) - COLUMN('lab6'!$D$40)+1,ROW(E40)-ROW('lab6'!$D$40)+1)</f>
        <v>1</v>
      </c>
      <c r="F40" s="3" cm="1">
        <f t="array" ref="F40">1/INDEX('lab6'!$D$40:$O$51,COLUMN(F40) - COLUMN('lab6'!$D$40)+1,ROW(F40)-ROW('lab6'!$D$40)+1)</f>
        <v>1</v>
      </c>
      <c r="G40" s="3" cm="1">
        <f t="array" ref="G40">1/INDEX('lab6'!$D$40:$O$51,COLUMN(G40) - COLUMN('lab6'!$D$40)+1,ROW(G40)-ROW('lab6'!$D$40)+1)</f>
        <v>0.5</v>
      </c>
      <c r="H40" s="3" cm="1">
        <f t="array" ref="H40">1/INDEX('lab6'!$D$40:$O$51,COLUMN(H40) - COLUMN('lab6'!$D$40)+1,ROW(H40)-ROW('lab6'!$D$40)+1)</f>
        <v>0.33333333333333331</v>
      </c>
      <c r="I40" s="3" cm="1">
        <f t="array" ref="I40">1/INDEX('lab6'!$D$40:$O$51,COLUMN(I40) - COLUMN('lab6'!$D$40)+1,ROW(I40)-ROW('lab6'!$D$40)+1)</f>
        <v>0.25</v>
      </c>
      <c r="J40" s="3" cm="1">
        <f t="array" ref="J40">1/INDEX('lab6'!$D$40:$O$51,COLUMN(J40) - COLUMN('lab6'!$D$40)+1,ROW(J40)-ROW('lab6'!$D$40)+1)</f>
        <v>0.2</v>
      </c>
      <c r="K40" s="3" cm="1">
        <f t="array" ref="K40">1/INDEX('lab6'!$D$40:$O$51,COLUMN(K40) - COLUMN('lab6'!$D$40)+1,ROW(K40)-ROW('lab6'!$D$40)+1)</f>
        <v>0.125</v>
      </c>
      <c r="L40" s="3" cm="1">
        <f t="array" ref="L40">1/INDEX('lab6'!$D$40:$O$51,COLUMN(L40) - COLUMN('lab6'!$D$40)+1,ROW(L40)-ROW('lab6'!$D$40)+1)</f>
        <v>0.14285714285714285</v>
      </c>
      <c r="M40" s="3" cm="1">
        <f t="array" ref="M40">1/INDEX('lab6'!$D$40:$O$51,COLUMN(M40) - COLUMN('lab6'!$D$40)+1,ROW(M40)-ROW('lab6'!$D$40)+1)</f>
        <v>0.16666666666666666</v>
      </c>
      <c r="N40" s="3" cm="1">
        <f t="array" ref="N40">1/INDEX('lab6'!$D$40:$O$51,COLUMN(N40) - COLUMN('lab6'!$D$40)+1,ROW(N40)-ROW('lab6'!$D$40)+1)</f>
        <v>0.2</v>
      </c>
      <c r="O40" s="3" cm="1">
        <f t="array" ref="O40">1/INDEX('lab6'!$D$40:$O$51,COLUMN(O40) - COLUMN('lab6'!$D$40)+1,ROW(O40)-ROW('lab6'!$D$40)+1)</f>
        <v>0.5</v>
      </c>
    </row>
    <row r="41" spans="3:15" x14ac:dyDescent="0.25">
      <c r="C41" s="5">
        <f t="shared" ref="C41:C51" si="7">C40+5</f>
        <v>-15</v>
      </c>
      <c r="D41" s="4">
        <v>1</v>
      </c>
      <c r="E41" s="13">
        <v>1</v>
      </c>
      <c r="F41" s="3" cm="1">
        <f t="array" ref="F41">1/INDEX('lab6'!$D$40:$O$51,COLUMN(F41) - COLUMN('lab6'!$D$40)+1,ROW(F41)-ROW('lab6'!$D$40)+1)</f>
        <v>1</v>
      </c>
      <c r="G41" s="3" cm="1">
        <f t="array" ref="G41">1/INDEX('lab6'!$D$40:$O$51,COLUMN(G41) - COLUMN('lab6'!$D$40)+1,ROW(G41)-ROW('lab6'!$D$40)+1)</f>
        <v>0.5</v>
      </c>
      <c r="H41" s="3" cm="1">
        <f t="array" ref="H41">1/INDEX('lab6'!$D$40:$O$51,COLUMN(H41) - COLUMN('lab6'!$D$40)+1,ROW(H41)-ROW('lab6'!$D$40)+1)</f>
        <v>0.33333333333333331</v>
      </c>
      <c r="I41" s="3" cm="1">
        <f t="array" ref="I41">1/INDEX('lab6'!$D$40:$O$51,COLUMN(I41) - COLUMN('lab6'!$D$40)+1,ROW(I41)-ROW('lab6'!$D$40)+1)</f>
        <v>0.25</v>
      </c>
      <c r="J41" s="3" cm="1">
        <f t="array" ref="J41">1/INDEX('lab6'!$D$40:$O$51,COLUMN(J41) - COLUMN('lab6'!$D$40)+1,ROW(J41)-ROW('lab6'!$D$40)+1)</f>
        <v>0.2</v>
      </c>
      <c r="K41" s="3" cm="1">
        <f t="array" ref="K41">1/INDEX('lab6'!$D$40:$O$51,COLUMN(K41) - COLUMN('lab6'!$D$40)+1,ROW(K41)-ROW('lab6'!$D$40)+1)</f>
        <v>0.125</v>
      </c>
      <c r="L41" s="3" cm="1">
        <f t="array" ref="L41">1/INDEX('lab6'!$D$40:$O$51,COLUMN(L41) - COLUMN('lab6'!$D$40)+1,ROW(L41)-ROW('lab6'!$D$40)+1)</f>
        <v>0.14285714285714285</v>
      </c>
      <c r="M41" s="3" cm="1">
        <f t="array" ref="M41">1/INDEX('lab6'!$D$40:$O$51,COLUMN(M41) - COLUMN('lab6'!$D$40)+1,ROW(M41)-ROW('lab6'!$D$40)+1)</f>
        <v>0.16666666666666666</v>
      </c>
      <c r="N41" s="3" cm="1">
        <f t="array" ref="N41">1/INDEX('lab6'!$D$40:$O$51,COLUMN(N41) - COLUMN('lab6'!$D$40)+1,ROW(N41)-ROW('lab6'!$D$40)+1)</f>
        <v>0.2</v>
      </c>
      <c r="O41" s="3" cm="1">
        <f t="array" ref="O41">1/INDEX('lab6'!$D$40:$O$51,COLUMN(O41) - COLUMN('lab6'!$D$40)+1,ROW(O41)-ROW('lab6'!$D$40)+1)</f>
        <v>0.5</v>
      </c>
    </row>
    <row r="42" spans="3:15" x14ac:dyDescent="0.25">
      <c r="C42" s="5">
        <f t="shared" si="7"/>
        <v>-10</v>
      </c>
      <c r="D42" s="4">
        <v>1</v>
      </c>
      <c r="E42" s="4">
        <v>1</v>
      </c>
      <c r="F42" s="13">
        <v>1</v>
      </c>
      <c r="G42" s="3" cm="1">
        <f t="array" ref="G42">1/INDEX('lab6'!$D$40:$O$51,COLUMN(G42) - COLUMN('lab6'!$D$40)+1,ROW(G42)-ROW('lab6'!$D$40)+1)</f>
        <v>0.5</v>
      </c>
      <c r="H42" s="3" cm="1">
        <f t="array" ref="H42">1/INDEX('lab6'!$D$40:$O$51,COLUMN(H42) - COLUMN('lab6'!$D$40)+1,ROW(H42)-ROW('lab6'!$D$40)+1)</f>
        <v>0.33333333333333331</v>
      </c>
      <c r="I42" s="3" cm="1">
        <f t="array" ref="I42">1/INDEX('lab6'!$D$40:$O$51,COLUMN(I42) - COLUMN('lab6'!$D$40)+1,ROW(I42)-ROW('lab6'!$D$40)+1)</f>
        <v>0.25</v>
      </c>
      <c r="J42" s="3" cm="1">
        <f t="array" ref="J42">1/INDEX('lab6'!$D$40:$O$51,COLUMN(J42) - COLUMN('lab6'!$D$40)+1,ROW(J42)-ROW('lab6'!$D$40)+1)</f>
        <v>0.2</v>
      </c>
      <c r="K42" s="3" cm="1">
        <f t="array" ref="K42">1/INDEX('lab6'!$D$40:$O$51,COLUMN(K42) - COLUMN('lab6'!$D$40)+1,ROW(K42)-ROW('lab6'!$D$40)+1)</f>
        <v>0.14285714285714285</v>
      </c>
      <c r="L42" s="3" cm="1">
        <f t="array" ref="L42">1/INDEX('lab6'!$D$40:$O$51,COLUMN(L42) - COLUMN('lab6'!$D$40)+1,ROW(L42)-ROW('lab6'!$D$40)+1)</f>
        <v>0.16666666666666666</v>
      </c>
      <c r="M42" s="3" cm="1">
        <f t="array" ref="M42">1/INDEX('lab6'!$D$40:$O$51,COLUMN(M42) - COLUMN('lab6'!$D$40)+1,ROW(M42)-ROW('lab6'!$D$40)+1)</f>
        <v>0.2</v>
      </c>
      <c r="N42" s="3" cm="1">
        <f t="array" ref="N42">1/INDEX('lab6'!$D$40:$O$51,COLUMN(N42) - COLUMN('lab6'!$D$40)+1,ROW(N42)-ROW('lab6'!$D$40)+1)</f>
        <v>0.25</v>
      </c>
      <c r="O42" s="3" cm="1">
        <f t="array" ref="O42">1/INDEX('lab6'!$D$40:$O$51,COLUMN(O42) - COLUMN('lab6'!$D$40)+1,ROW(O42)-ROW('lab6'!$D$40)+1)</f>
        <v>0.33333333333333331</v>
      </c>
    </row>
    <row r="43" spans="3:15" x14ac:dyDescent="0.25">
      <c r="C43" s="5">
        <f t="shared" si="7"/>
        <v>-5</v>
      </c>
      <c r="D43" s="4">
        <v>2</v>
      </c>
      <c r="E43" s="4">
        <v>2</v>
      </c>
      <c r="F43" s="4">
        <v>2</v>
      </c>
      <c r="G43" s="13">
        <v>1</v>
      </c>
      <c r="H43" s="3" cm="1">
        <f t="array" ref="H43">1/INDEX('lab6'!$D$40:$O$51,COLUMN(H43) - COLUMN('lab6'!$D$40)+1,ROW(H43)-ROW('lab6'!$D$40)+1)</f>
        <v>0.33333333333333331</v>
      </c>
      <c r="I43" s="3" cm="1">
        <f t="array" ref="I43">1/INDEX('lab6'!$D$40:$O$51,COLUMN(I43) - COLUMN('lab6'!$D$40)+1,ROW(I43)-ROW('lab6'!$D$40)+1)</f>
        <v>0.33333333333333331</v>
      </c>
      <c r="J43" s="3" cm="1">
        <f t="array" ref="J43">1/INDEX('lab6'!$D$40:$O$51,COLUMN(J43) - COLUMN('lab6'!$D$40)+1,ROW(J43)-ROW('lab6'!$D$40)+1)</f>
        <v>0.25</v>
      </c>
      <c r="K43" s="3" cm="1">
        <f t="array" ref="K43">1/INDEX('lab6'!$D$40:$O$51,COLUMN(K43) - COLUMN('lab6'!$D$40)+1,ROW(K43)-ROW('lab6'!$D$40)+1)</f>
        <v>0.14285714285714285</v>
      </c>
      <c r="L43" s="3" cm="1">
        <f t="array" ref="L43">1/INDEX('lab6'!$D$40:$O$51,COLUMN(L43) - COLUMN('lab6'!$D$40)+1,ROW(L43)-ROW('lab6'!$D$40)+1)</f>
        <v>0.16666666666666666</v>
      </c>
      <c r="M43" s="3" cm="1">
        <f t="array" ref="M43">1/INDEX('lab6'!$D$40:$O$51,COLUMN(M43) - COLUMN('lab6'!$D$40)+1,ROW(M43)-ROW('lab6'!$D$40)+1)</f>
        <v>0.2</v>
      </c>
      <c r="N43" s="3" cm="1">
        <f t="array" ref="N43">1/INDEX('lab6'!$D$40:$O$51,COLUMN(N43) - COLUMN('lab6'!$D$40)+1,ROW(N43)-ROW('lab6'!$D$40)+1)</f>
        <v>0.2</v>
      </c>
      <c r="O43" s="3" cm="1">
        <f t="array" ref="O43">1/INDEX('lab6'!$D$40:$O$51,COLUMN(O43) - COLUMN('lab6'!$D$40)+1,ROW(O43)-ROW('lab6'!$D$40)+1)</f>
        <v>0.33333333333333331</v>
      </c>
    </row>
    <row r="44" spans="3:15" x14ac:dyDescent="0.25">
      <c r="C44" s="5">
        <f t="shared" si="7"/>
        <v>0</v>
      </c>
      <c r="D44" s="4">
        <v>3</v>
      </c>
      <c r="E44" s="4">
        <v>3</v>
      </c>
      <c r="F44" s="4">
        <v>3</v>
      </c>
      <c r="G44" s="4">
        <v>3</v>
      </c>
      <c r="H44" s="13">
        <v>1</v>
      </c>
      <c r="I44" s="3" cm="1">
        <f t="array" ref="I44">1/INDEX('lab6'!$D$40:$O$51,COLUMN(I44) - COLUMN('lab6'!$D$40)+1,ROW(I44)-ROW('lab6'!$D$40)+1)</f>
        <v>0.33333333333333331</v>
      </c>
      <c r="J44" s="3" cm="1">
        <f t="array" ref="J44">1/INDEX('lab6'!$D$40:$O$51,COLUMN(J44) - COLUMN('lab6'!$D$40)+1,ROW(J44)-ROW('lab6'!$D$40)+1)</f>
        <v>0.16666666666666666</v>
      </c>
      <c r="K44" s="3" cm="1">
        <f t="array" ref="K44">1/INDEX('lab6'!$D$40:$O$51,COLUMN(K44) - COLUMN('lab6'!$D$40)+1,ROW(K44)-ROW('lab6'!$D$40)+1)</f>
        <v>0.125</v>
      </c>
      <c r="L44" s="3" cm="1">
        <f t="array" ref="L44">1/INDEX('lab6'!$D$40:$O$51,COLUMN(L44) - COLUMN('lab6'!$D$40)+1,ROW(L44)-ROW('lab6'!$D$40)+1)</f>
        <v>0.16666666666666666</v>
      </c>
      <c r="M44" s="3" cm="1">
        <f t="array" ref="M44">1/INDEX('lab6'!$D$40:$O$51,COLUMN(M44) - COLUMN('lab6'!$D$40)+1,ROW(M44)-ROW('lab6'!$D$40)+1)</f>
        <v>0.2</v>
      </c>
      <c r="N44" s="3" cm="1">
        <f t="array" ref="N44">1/INDEX('lab6'!$D$40:$O$51,COLUMN(N44) - COLUMN('lab6'!$D$40)+1,ROW(N44)-ROW('lab6'!$D$40)+1)</f>
        <v>0.2</v>
      </c>
      <c r="O44" s="3" cm="1">
        <f t="array" ref="O44">1/INDEX('lab6'!$D$40:$O$51,COLUMN(O44) - COLUMN('lab6'!$D$40)+1,ROW(O44)-ROW('lab6'!$D$40)+1)</f>
        <v>0.33333333333333331</v>
      </c>
    </row>
    <row r="45" spans="3:15" x14ac:dyDescent="0.25">
      <c r="C45" s="5">
        <f t="shared" si="7"/>
        <v>5</v>
      </c>
      <c r="D45" s="4">
        <v>4</v>
      </c>
      <c r="E45" s="4">
        <v>4</v>
      </c>
      <c r="F45" s="4">
        <v>4</v>
      </c>
      <c r="G45" s="4">
        <v>3</v>
      </c>
      <c r="H45" s="4">
        <v>3</v>
      </c>
      <c r="I45" s="13">
        <v>1</v>
      </c>
      <c r="J45" s="3" cm="1">
        <f t="array" ref="J45">1/INDEX('lab6'!$D$40:$O$51,COLUMN(J45) - COLUMN('lab6'!$D$40)+1,ROW(J45)-ROW('lab6'!$D$40)+1)</f>
        <v>0.25</v>
      </c>
      <c r="K45" s="3" cm="1">
        <f t="array" ref="K45">1/INDEX('lab6'!$D$40:$O$51,COLUMN(K45) - COLUMN('lab6'!$D$40)+1,ROW(K45)-ROW('lab6'!$D$40)+1)</f>
        <v>0.14285714285714285</v>
      </c>
      <c r="L45" s="3" cm="1">
        <f t="array" ref="L45">1/INDEX('lab6'!$D$40:$O$51,COLUMN(L45) - COLUMN('lab6'!$D$40)+1,ROW(L45)-ROW('lab6'!$D$40)+1)</f>
        <v>0.16666666666666666</v>
      </c>
      <c r="M45" s="3" cm="1">
        <f t="array" ref="M45">1/INDEX('lab6'!$D$40:$O$51,COLUMN(M45) - COLUMN('lab6'!$D$40)+1,ROW(M45)-ROW('lab6'!$D$40)+1)</f>
        <v>0.2</v>
      </c>
      <c r="N45" s="3" cm="1">
        <f t="array" ref="N45">1/INDEX('lab6'!$D$40:$O$51,COLUMN(N45) - COLUMN('lab6'!$D$40)+1,ROW(N45)-ROW('lab6'!$D$40)+1)</f>
        <v>0.25</v>
      </c>
      <c r="O45" s="3" cm="1">
        <f t="array" ref="O45">1/INDEX('lab6'!$D$40:$O$51,COLUMN(O45) - COLUMN('lab6'!$D$40)+1,ROW(O45)-ROW('lab6'!$D$40)+1)</f>
        <v>0.33333333333333331</v>
      </c>
    </row>
    <row r="46" spans="3:15" x14ac:dyDescent="0.25">
      <c r="C46" s="5">
        <f t="shared" si="7"/>
        <v>10</v>
      </c>
      <c r="D46" s="4">
        <v>5</v>
      </c>
      <c r="E46" s="4">
        <v>5</v>
      </c>
      <c r="F46" s="4">
        <v>5</v>
      </c>
      <c r="G46" s="4">
        <v>4</v>
      </c>
      <c r="H46" s="4">
        <v>6</v>
      </c>
      <c r="I46" s="4">
        <v>4</v>
      </c>
      <c r="J46" s="13">
        <v>1</v>
      </c>
      <c r="K46" s="3" cm="1">
        <f t="array" ref="K46">1/INDEX('lab6'!$D$40:$O$51,COLUMN(K46) - COLUMN('lab6'!$D$40)+1,ROW(K46)-ROW('lab6'!$D$40)+1)</f>
        <v>0.33333333333333331</v>
      </c>
      <c r="L46" s="3" cm="1">
        <f t="array" ref="L46">1/INDEX('lab6'!$D$40:$O$51,COLUMN(L46) - COLUMN('lab6'!$D$40)+1,ROW(L46)-ROW('lab6'!$D$40)+1)</f>
        <v>0.2</v>
      </c>
      <c r="M46" s="3" cm="1">
        <f t="array" ref="M46">1/INDEX('lab6'!$D$40:$O$51,COLUMN(M46) - COLUMN('lab6'!$D$40)+1,ROW(M46)-ROW('lab6'!$D$40)+1)</f>
        <v>0.2</v>
      </c>
      <c r="N46" s="3" cm="1">
        <f t="array" ref="N46">1/INDEX('lab6'!$D$40:$O$51,COLUMN(N46) - COLUMN('lab6'!$D$40)+1,ROW(N46)-ROW('lab6'!$D$40)+1)</f>
        <v>0.25</v>
      </c>
      <c r="O46" s="3" cm="1">
        <f t="array" ref="O46">1/INDEX('lab6'!$D$40:$O$51,COLUMN(O46) - COLUMN('lab6'!$D$40)+1,ROW(O46)-ROW('lab6'!$D$40)+1)</f>
        <v>0.33333333333333331</v>
      </c>
    </row>
    <row r="47" spans="3:15" x14ac:dyDescent="0.25">
      <c r="C47" s="5">
        <f t="shared" si="7"/>
        <v>15</v>
      </c>
      <c r="D47" s="4">
        <v>8</v>
      </c>
      <c r="E47" s="4">
        <v>8</v>
      </c>
      <c r="F47" s="4">
        <v>7</v>
      </c>
      <c r="G47" s="4">
        <v>7</v>
      </c>
      <c r="H47" s="4">
        <v>8</v>
      </c>
      <c r="I47" s="4">
        <v>7</v>
      </c>
      <c r="J47" s="4">
        <v>3</v>
      </c>
      <c r="K47" s="13">
        <v>1</v>
      </c>
      <c r="L47" s="3" cm="1">
        <f t="array" ref="L47">1/INDEX('lab6'!$D$40:$O$51,COLUMN(L47) - COLUMN('lab6'!$D$40)+1,ROW(L47)-ROW('lab6'!$D$40)+1)</f>
        <v>0.5</v>
      </c>
      <c r="M47" s="3" cm="1">
        <f t="array" ref="M47">1/INDEX('lab6'!$D$40:$O$51,COLUMN(M47) - COLUMN('lab6'!$D$40)+1,ROW(M47)-ROW('lab6'!$D$40)+1)</f>
        <v>0.33333333333333331</v>
      </c>
      <c r="N47" s="3" cm="1">
        <f t="array" ref="N47">1/INDEX('lab6'!$D$40:$O$51,COLUMN(N47) - COLUMN('lab6'!$D$40)+1,ROW(N47)-ROW('lab6'!$D$40)+1)</f>
        <v>0.5</v>
      </c>
      <c r="O47" s="3" cm="1">
        <f t="array" ref="O47">1/INDEX('lab6'!$D$40:$O$51,COLUMN(O47) - COLUMN('lab6'!$D$40)+1,ROW(O47)-ROW('lab6'!$D$40)+1)</f>
        <v>0.5</v>
      </c>
    </row>
    <row r="48" spans="3:15" x14ac:dyDescent="0.25">
      <c r="C48" s="5">
        <f t="shared" si="7"/>
        <v>20</v>
      </c>
      <c r="D48" s="4">
        <v>7</v>
      </c>
      <c r="E48" s="4">
        <v>7</v>
      </c>
      <c r="F48" s="4">
        <v>6</v>
      </c>
      <c r="G48" s="4">
        <v>6</v>
      </c>
      <c r="H48" s="4">
        <v>6</v>
      </c>
      <c r="I48" s="4">
        <v>6</v>
      </c>
      <c r="J48" s="4">
        <v>5</v>
      </c>
      <c r="K48" s="4">
        <v>2</v>
      </c>
      <c r="L48" s="13">
        <v>1</v>
      </c>
      <c r="M48" s="3" cm="1">
        <f t="array" ref="M48">1/INDEX('lab6'!$D$40:$O$51,COLUMN(M48) - COLUMN('lab6'!$D$40)+1,ROW(M48)-ROW('lab6'!$D$40)+1)</f>
        <v>0.5</v>
      </c>
      <c r="N48" s="3" cm="1">
        <f t="array" ref="N48">1/INDEX('lab6'!$D$40:$O$51,COLUMN(N48) - COLUMN('lab6'!$D$40)+1,ROW(N48)-ROW('lab6'!$D$40)+1)</f>
        <v>0.5</v>
      </c>
      <c r="O48" s="3" cm="1">
        <f t="array" ref="O48">1/INDEX('lab6'!$D$40:$O$51,COLUMN(O48) - COLUMN('lab6'!$D$40)+1,ROW(O48)-ROW('lab6'!$D$40)+1)</f>
        <v>0.5</v>
      </c>
    </row>
    <row r="49" spans="3:15" x14ac:dyDescent="0.25">
      <c r="C49" s="5">
        <f t="shared" si="7"/>
        <v>25</v>
      </c>
      <c r="D49" s="4">
        <v>6</v>
      </c>
      <c r="E49" s="4">
        <v>6</v>
      </c>
      <c r="F49" s="4">
        <v>5</v>
      </c>
      <c r="G49" s="4">
        <v>5</v>
      </c>
      <c r="H49" s="4">
        <v>5</v>
      </c>
      <c r="I49" s="4">
        <v>5</v>
      </c>
      <c r="J49" s="4">
        <v>5</v>
      </c>
      <c r="K49" s="4">
        <v>3</v>
      </c>
      <c r="L49" s="4">
        <v>2</v>
      </c>
      <c r="M49" s="13">
        <v>1</v>
      </c>
      <c r="N49" s="3" cm="1">
        <f t="array" ref="N49">1/INDEX('lab6'!$D$40:$O$51,COLUMN(N49) - COLUMN('lab6'!$D$40)+1,ROW(N49)-ROW('lab6'!$D$40)+1)</f>
        <v>0.5</v>
      </c>
      <c r="O49" s="3" cm="1">
        <f t="array" ref="O49">1/INDEX('lab6'!$D$40:$O$51,COLUMN(O49) - COLUMN('lab6'!$D$40)+1,ROW(O49)-ROW('lab6'!$D$40)+1)</f>
        <v>0.5</v>
      </c>
    </row>
    <row r="50" spans="3:15" x14ac:dyDescent="0.25">
      <c r="C50" s="5">
        <f t="shared" si="7"/>
        <v>30</v>
      </c>
      <c r="D50" s="4">
        <v>5</v>
      </c>
      <c r="E50" s="4">
        <v>5</v>
      </c>
      <c r="F50" s="4">
        <v>4</v>
      </c>
      <c r="G50" s="4">
        <v>5</v>
      </c>
      <c r="H50" s="4">
        <v>5</v>
      </c>
      <c r="I50" s="4">
        <v>4</v>
      </c>
      <c r="J50" s="4">
        <v>4</v>
      </c>
      <c r="K50" s="4">
        <v>2</v>
      </c>
      <c r="L50" s="4">
        <v>2</v>
      </c>
      <c r="M50" s="4">
        <v>2</v>
      </c>
      <c r="N50" s="13">
        <v>1</v>
      </c>
      <c r="O50" s="3" cm="1">
        <f t="array" ref="O50">1/INDEX('lab6'!$D$40:$O$51,COLUMN(O50) - COLUMN('lab6'!$D$40)+1,ROW(O50)-ROW('lab6'!$D$40)+1)</f>
        <v>1</v>
      </c>
    </row>
    <row r="51" spans="3:15" ht="15.75" thickBot="1" x14ac:dyDescent="0.3">
      <c r="C51" s="6">
        <f t="shared" si="7"/>
        <v>35</v>
      </c>
      <c r="D51" s="4">
        <v>2</v>
      </c>
      <c r="E51" s="4">
        <v>2</v>
      </c>
      <c r="F51" s="4">
        <v>3</v>
      </c>
      <c r="G51" s="4">
        <v>3</v>
      </c>
      <c r="H51" s="4">
        <v>3</v>
      </c>
      <c r="I51" s="4">
        <v>3</v>
      </c>
      <c r="J51" s="4">
        <v>3</v>
      </c>
      <c r="K51" s="4">
        <v>2</v>
      </c>
      <c r="L51" s="4">
        <v>2</v>
      </c>
      <c r="M51" s="4">
        <v>2</v>
      </c>
      <c r="N51" s="4">
        <v>1</v>
      </c>
      <c r="O51" s="13">
        <v>1</v>
      </c>
    </row>
    <row r="53" spans="3:15" ht="15.75" thickBot="1" x14ac:dyDescent="0.3"/>
    <row r="54" spans="3:15" ht="15.75" thickBot="1" x14ac:dyDescent="0.3">
      <c r="C54" s="14" t="s">
        <v>4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/>
    </row>
    <row r="55" spans="3:15" ht="15.75" thickBot="1" x14ac:dyDescent="0.3">
      <c r="C55" s="8"/>
      <c r="D55" s="9">
        <v>-20</v>
      </c>
      <c r="E55" s="10">
        <v>-15</v>
      </c>
      <c r="F55" s="10">
        <f>E55+5</f>
        <v>-10</v>
      </c>
      <c r="G55" s="10">
        <f t="shared" ref="G55:J55" si="8">F55+5</f>
        <v>-5</v>
      </c>
      <c r="H55" s="10">
        <f t="shared" si="8"/>
        <v>0</v>
      </c>
      <c r="I55" s="10">
        <f t="shared" si="8"/>
        <v>5</v>
      </c>
      <c r="J55" s="10">
        <f t="shared" si="8"/>
        <v>10</v>
      </c>
      <c r="K55" s="10">
        <f>J55+5</f>
        <v>15</v>
      </c>
      <c r="L55" s="10">
        <f t="shared" ref="L55:O55" si="9">K55+5</f>
        <v>20</v>
      </c>
      <c r="M55" s="10">
        <f t="shared" si="9"/>
        <v>25</v>
      </c>
      <c r="N55" s="10">
        <f t="shared" si="9"/>
        <v>30</v>
      </c>
      <c r="O55" s="11">
        <f t="shared" si="9"/>
        <v>35</v>
      </c>
    </row>
    <row r="56" spans="3:15" x14ac:dyDescent="0.25">
      <c r="C56" s="7">
        <f>-20</f>
        <v>-20</v>
      </c>
      <c r="D56" s="12">
        <v>1</v>
      </c>
      <c r="E56" s="3" cm="1">
        <f t="array" ref="E56">1/INDEX($D$56:$O$67,COLUMN(E56) - COLUMN($D$56)+1,ROW(E56)-ROW($D$56)+1)</f>
        <v>1</v>
      </c>
      <c r="F56" s="3" cm="1">
        <f t="array" ref="F56">1/INDEX($D$56:$O$67,COLUMN(F56) - COLUMN($D$56)+1,ROW(F56)-ROW($D$56)+1)</f>
        <v>1</v>
      </c>
      <c r="G56" s="3" cm="1">
        <f t="array" ref="G56">1/INDEX($D$56:$O$67,COLUMN(G56) - COLUMN($D$56)+1,ROW(G56)-ROW($D$56)+1)</f>
        <v>0.5</v>
      </c>
      <c r="H56" s="3" cm="1">
        <f t="array" ref="H56">1/INDEX($D$56:$O$67,COLUMN(H56) - COLUMN($D$56)+1,ROW(H56)-ROW($D$56)+1)</f>
        <v>0.5</v>
      </c>
      <c r="I56" s="3" cm="1">
        <f t="array" ref="I56">1/INDEX($D$56:$O$67,COLUMN(I56) - COLUMN($D$56)+1,ROW(I56)-ROW($D$56)+1)</f>
        <v>0.33333333333333331</v>
      </c>
      <c r="J56" s="3" cm="1">
        <f t="array" ref="J56">1/INDEX($D$56:$O$67,COLUMN(J56) - COLUMN($D$56)+1,ROW(J56)-ROW($D$56)+1)</f>
        <v>0.33333333333333331</v>
      </c>
      <c r="K56" s="3" cm="1">
        <f t="array" ref="K56">1/INDEX($D$56:$O$67,COLUMN(K56) - COLUMN($D$56)+1,ROW(K56)-ROW($D$56)+1)</f>
        <v>0.25</v>
      </c>
      <c r="L56" s="3" cm="1">
        <f t="array" ref="L56">1/INDEX($D$56:$O$67,COLUMN(L56) - COLUMN($D$56)+1,ROW(L56)-ROW($D$56)+1)</f>
        <v>0.2</v>
      </c>
      <c r="M56" s="3" cm="1">
        <f t="array" ref="M56">1/INDEX($D$56:$O$67,COLUMN(M56) - COLUMN($D$56)+1,ROW(M56)-ROW($D$56)+1)</f>
        <v>0.1111111111111111</v>
      </c>
      <c r="N56" s="3" cm="1">
        <f t="array" ref="N56">1/INDEX($D$56:$O$67,COLUMN(N56) - COLUMN($D$56)+1,ROW(N56)-ROW($D$56)+1)</f>
        <v>0.16666666666666666</v>
      </c>
      <c r="O56" s="3" cm="1">
        <f t="array" ref="O56">1/INDEX($D$56:$O$67,COLUMN(O56) - COLUMN($D$56)+1,ROW(O56)-ROW($D$56)+1)</f>
        <v>0.33333333333333331</v>
      </c>
    </row>
    <row r="57" spans="3:15" x14ac:dyDescent="0.25">
      <c r="C57" s="5">
        <f t="shared" ref="C57:C67" si="10">C56+5</f>
        <v>-15</v>
      </c>
      <c r="D57" s="4">
        <v>1</v>
      </c>
      <c r="E57" s="13">
        <v>1</v>
      </c>
      <c r="F57" s="3" cm="1">
        <f t="array" ref="F57">1/INDEX($D$56:$O$67,COLUMN(F57) - COLUMN($D$56)+1,ROW(F57)-ROW($D$56)+1)</f>
        <v>1</v>
      </c>
      <c r="G57" s="3" cm="1">
        <f t="array" ref="G57">1/INDEX($D$56:$O$67,COLUMN(G57) - COLUMN($D$56)+1,ROW(G57)-ROW($D$56)+1)</f>
        <v>1</v>
      </c>
      <c r="H57" s="3" cm="1">
        <f t="array" ref="H57">1/INDEX($D$56:$O$67,COLUMN(H57) - COLUMN($D$56)+1,ROW(H57)-ROW($D$56)+1)</f>
        <v>0.33333333333333331</v>
      </c>
      <c r="I57" s="3" cm="1">
        <f t="array" ref="I57">1/INDEX($D$56:$O$67,COLUMN(I57) - COLUMN($D$56)+1,ROW(I57)-ROW($D$56)+1)</f>
        <v>0.25</v>
      </c>
      <c r="J57" s="3" cm="1">
        <f t="array" ref="J57">1/INDEX($D$56:$O$67,COLUMN(J57) - COLUMN($D$56)+1,ROW(J57)-ROW($D$56)+1)</f>
        <v>0.16666666666666666</v>
      </c>
      <c r="K57" s="3" cm="1">
        <f t="array" ref="K57">1/INDEX($D$56:$O$67,COLUMN(K57) - COLUMN($D$56)+1,ROW(K57)-ROW($D$56)+1)</f>
        <v>0.14285714285714285</v>
      </c>
      <c r="L57" s="3" cm="1">
        <f t="array" ref="L57">1/INDEX($D$56:$O$67,COLUMN(L57) - COLUMN($D$56)+1,ROW(L57)-ROW($D$56)+1)</f>
        <v>0.125</v>
      </c>
      <c r="M57" s="3" cm="1">
        <f t="array" ref="M57">1/INDEX($D$56:$O$67,COLUMN(M57) - COLUMN($D$56)+1,ROW(M57)-ROW($D$56)+1)</f>
        <v>0.1111111111111111</v>
      </c>
      <c r="N57" s="3" cm="1">
        <f t="array" ref="N57">1/INDEX($D$56:$O$67,COLUMN(N57) - COLUMN($D$56)+1,ROW(N57)-ROW($D$56)+1)</f>
        <v>0.16666666666666666</v>
      </c>
      <c r="O57" s="3" cm="1">
        <f t="array" ref="O57">1/INDEX($D$56:$O$67,COLUMN(O57) - COLUMN($D$56)+1,ROW(O57)-ROW($D$56)+1)</f>
        <v>0.33333333333333331</v>
      </c>
    </row>
    <row r="58" spans="3:15" x14ac:dyDescent="0.25">
      <c r="C58" s="5">
        <f t="shared" si="10"/>
        <v>-10</v>
      </c>
      <c r="D58" s="4">
        <v>1</v>
      </c>
      <c r="E58" s="4">
        <v>1</v>
      </c>
      <c r="F58" s="13">
        <v>1</v>
      </c>
      <c r="G58" s="3" cm="1">
        <f t="array" ref="G58">1/INDEX($D$56:$O$67,COLUMN(G58) - COLUMN($D$56)+1,ROW(G58)-ROW($D$56)+1)</f>
        <v>1</v>
      </c>
      <c r="H58" s="3" cm="1">
        <f t="array" ref="H58">1/INDEX($D$56:$O$67,COLUMN(H58) - COLUMN($D$56)+1,ROW(H58)-ROW($D$56)+1)</f>
        <v>0.5</v>
      </c>
      <c r="I58" s="3" cm="1">
        <f t="array" ref="I58">1/INDEX($D$56:$O$67,COLUMN(I58) - COLUMN($D$56)+1,ROW(I58)-ROW($D$56)+1)</f>
        <v>0.33333333333333331</v>
      </c>
      <c r="J58" s="3" cm="1">
        <f t="array" ref="J58">1/INDEX($D$56:$O$67,COLUMN(J58) - COLUMN($D$56)+1,ROW(J58)-ROW($D$56)+1)</f>
        <v>0.25</v>
      </c>
      <c r="K58" s="3" cm="1">
        <f t="array" ref="K58">1/INDEX($D$56:$O$67,COLUMN(K58) - COLUMN($D$56)+1,ROW(K58)-ROW($D$56)+1)</f>
        <v>0.16666666666666666</v>
      </c>
      <c r="L58" s="3" cm="1">
        <f t="array" ref="L58">1/INDEX($D$56:$O$67,COLUMN(L58) - COLUMN($D$56)+1,ROW(L58)-ROW($D$56)+1)</f>
        <v>0.14285714285714285</v>
      </c>
      <c r="M58" s="3" cm="1">
        <f t="array" ref="M58">1/INDEX($D$56:$O$67,COLUMN(M58) - COLUMN($D$56)+1,ROW(M58)-ROW($D$56)+1)</f>
        <v>0.1111111111111111</v>
      </c>
      <c r="N58" s="3" cm="1">
        <f t="array" ref="N58">1/INDEX($D$56:$O$67,COLUMN(N58) - COLUMN($D$56)+1,ROW(N58)-ROW($D$56)+1)</f>
        <v>0.2</v>
      </c>
      <c r="O58" s="3" cm="1">
        <f t="array" ref="O58">1/INDEX($D$56:$O$67,COLUMN(O58) - COLUMN($D$56)+1,ROW(O58)-ROW($D$56)+1)</f>
        <v>0.33333333333333331</v>
      </c>
    </row>
    <row r="59" spans="3:15" x14ac:dyDescent="0.25">
      <c r="C59" s="5">
        <f t="shared" si="10"/>
        <v>-5</v>
      </c>
      <c r="D59" s="4">
        <v>2</v>
      </c>
      <c r="E59" s="4">
        <v>1</v>
      </c>
      <c r="F59" s="4">
        <v>1</v>
      </c>
      <c r="G59" s="13">
        <v>1</v>
      </c>
      <c r="H59" s="3" cm="1">
        <f t="array" ref="H59">1/INDEX($D$56:$O$67,COLUMN(H59) - COLUMN($D$56)+1,ROW(H59)-ROW($D$56)+1)</f>
        <v>0.5</v>
      </c>
      <c r="I59" s="3" cm="1">
        <f t="array" ref="I59">1/INDEX($D$56:$O$67,COLUMN(I59) - COLUMN($D$56)+1,ROW(I59)-ROW($D$56)+1)</f>
        <v>0.33333333333333331</v>
      </c>
      <c r="J59" s="3" cm="1">
        <f t="array" ref="J59">1/INDEX($D$56:$O$67,COLUMN(J59) - COLUMN($D$56)+1,ROW(J59)-ROW($D$56)+1)</f>
        <v>0.25</v>
      </c>
      <c r="K59" s="3" cm="1">
        <f t="array" ref="K59">1/INDEX($D$56:$O$67,COLUMN(K59) - COLUMN($D$56)+1,ROW(K59)-ROW($D$56)+1)</f>
        <v>0.16666666666666666</v>
      </c>
      <c r="L59" s="3" cm="1">
        <f t="array" ref="L59">1/INDEX($D$56:$O$67,COLUMN(L59) - COLUMN($D$56)+1,ROW(L59)-ROW($D$56)+1)</f>
        <v>0.14285714285714285</v>
      </c>
      <c r="M59" s="3" cm="1">
        <f t="array" ref="M59">1/INDEX($D$56:$O$67,COLUMN(M59) - COLUMN($D$56)+1,ROW(M59)-ROW($D$56)+1)</f>
        <v>0.1111111111111111</v>
      </c>
      <c r="N59" s="3" cm="1">
        <f t="array" ref="N59">1/INDEX($D$56:$O$67,COLUMN(N59) - COLUMN($D$56)+1,ROW(N59)-ROW($D$56)+1)</f>
        <v>0.14285714285714285</v>
      </c>
      <c r="O59" s="3" cm="1">
        <f t="array" ref="O59">1/INDEX($D$56:$O$67,COLUMN(O59) - COLUMN($D$56)+1,ROW(O59)-ROW($D$56)+1)</f>
        <v>0.33333333333333331</v>
      </c>
    </row>
    <row r="60" spans="3:15" x14ac:dyDescent="0.25">
      <c r="C60" s="5">
        <f t="shared" si="10"/>
        <v>0</v>
      </c>
      <c r="D60" s="4">
        <v>2</v>
      </c>
      <c r="E60" s="4">
        <v>3</v>
      </c>
      <c r="F60" s="4">
        <v>2</v>
      </c>
      <c r="G60" s="4">
        <v>2</v>
      </c>
      <c r="H60" s="13">
        <v>1</v>
      </c>
      <c r="I60" s="3" cm="1">
        <f t="array" ref="I60">1/INDEX($D$56:$O$67,COLUMN(I60) - COLUMN($D$56)+1,ROW(I60)-ROW($D$56)+1)</f>
        <v>0.5</v>
      </c>
      <c r="J60" s="3" cm="1">
        <f t="array" ref="J60">1/INDEX($D$56:$O$67,COLUMN(J60) - COLUMN($D$56)+1,ROW(J60)-ROW($D$56)+1)</f>
        <v>0.25</v>
      </c>
      <c r="K60" s="3" cm="1">
        <f t="array" ref="K60">1/INDEX($D$56:$O$67,COLUMN(K60) - COLUMN($D$56)+1,ROW(K60)-ROW($D$56)+1)</f>
        <v>0.2</v>
      </c>
      <c r="L60" s="3" cm="1">
        <f t="array" ref="L60">1/INDEX($D$56:$O$67,COLUMN(L60) - COLUMN($D$56)+1,ROW(L60)-ROW($D$56)+1)</f>
        <v>0.14285714285714285</v>
      </c>
      <c r="M60" s="3" cm="1">
        <f t="array" ref="M60">1/INDEX($D$56:$O$67,COLUMN(M60) - COLUMN($D$56)+1,ROW(M60)-ROW($D$56)+1)</f>
        <v>0.1111111111111111</v>
      </c>
      <c r="N60" s="3" cm="1">
        <f t="array" ref="N60">1/INDEX($D$56:$O$67,COLUMN(N60) - COLUMN($D$56)+1,ROW(N60)-ROW($D$56)+1)</f>
        <v>0.16666666666666666</v>
      </c>
      <c r="O60" s="3" cm="1">
        <f t="array" ref="O60">1/INDEX($D$56:$O$67,COLUMN(O60) - COLUMN($D$56)+1,ROW(O60)-ROW($D$56)+1)</f>
        <v>0.5</v>
      </c>
    </row>
    <row r="61" spans="3:15" x14ac:dyDescent="0.25">
      <c r="C61" s="5">
        <f t="shared" si="10"/>
        <v>5</v>
      </c>
      <c r="D61" s="4">
        <v>3</v>
      </c>
      <c r="E61" s="4">
        <v>4</v>
      </c>
      <c r="F61" s="4">
        <v>3</v>
      </c>
      <c r="G61" s="4">
        <v>3</v>
      </c>
      <c r="H61" s="4">
        <v>2</v>
      </c>
      <c r="I61" s="13">
        <v>1</v>
      </c>
      <c r="J61" s="3" cm="1">
        <f t="array" ref="J61">1/INDEX($D$56:$O$67,COLUMN(J61) - COLUMN($D$56)+1,ROW(J61)-ROW($D$56)+1)</f>
        <v>0.5</v>
      </c>
      <c r="K61" s="3" cm="1">
        <f t="array" ref="K61">1/INDEX($D$56:$O$67,COLUMN(K61) - COLUMN($D$56)+1,ROW(K61)-ROW($D$56)+1)</f>
        <v>0.16666666666666666</v>
      </c>
      <c r="L61" s="3" cm="1">
        <f t="array" ref="L61">1/INDEX($D$56:$O$67,COLUMN(L61) - COLUMN($D$56)+1,ROW(L61)-ROW($D$56)+1)</f>
        <v>0.125</v>
      </c>
      <c r="M61" s="3" cm="1">
        <f t="array" ref="M61">1/INDEX($D$56:$O$67,COLUMN(M61) - COLUMN($D$56)+1,ROW(M61)-ROW($D$56)+1)</f>
        <v>0.1111111111111111</v>
      </c>
      <c r="N61" s="3" cm="1">
        <f t="array" ref="N61">1/INDEX($D$56:$O$67,COLUMN(N61) - COLUMN($D$56)+1,ROW(N61)-ROW($D$56)+1)</f>
        <v>0.2</v>
      </c>
      <c r="O61" s="3" cm="1">
        <f t="array" ref="O61">1/INDEX($D$56:$O$67,COLUMN(O61) - COLUMN($D$56)+1,ROW(O61)-ROW($D$56)+1)</f>
        <v>0.5</v>
      </c>
    </row>
    <row r="62" spans="3:15" x14ac:dyDescent="0.25">
      <c r="C62" s="5">
        <f t="shared" si="10"/>
        <v>10</v>
      </c>
      <c r="D62" s="4">
        <v>3</v>
      </c>
      <c r="E62" s="4">
        <v>6</v>
      </c>
      <c r="F62" s="4">
        <v>4</v>
      </c>
      <c r="G62" s="4">
        <v>4</v>
      </c>
      <c r="H62" s="4">
        <v>4</v>
      </c>
      <c r="I62" s="4">
        <v>2</v>
      </c>
      <c r="J62" s="13">
        <v>1</v>
      </c>
      <c r="K62" s="3" cm="1">
        <f t="array" ref="K62">1/INDEX($D$56:$O$67,COLUMN(K62) - COLUMN($D$56)+1,ROW(K62)-ROW($D$56)+1)</f>
        <v>0.5</v>
      </c>
      <c r="L62" s="3" cm="1">
        <f t="array" ref="L62">1/INDEX($D$56:$O$67,COLUMN(L62) - COLUMN($D$56)+1,ROW(L62)-ROW($D$56)+1)</f>
        <v>0.2</v>
      </c>
      <c r="M62" s="3" cm="1">
        <f t="array" ref="M62">1/INDEX($D$56:$O$67,COLUMN(M62) - COLUMN($D$56)+1,ROW(M62)-ROW($D$56)+1)</f>
        <v>0.1111111111111111</v>
      </c>
      <c r="N62" s="3" cm="1">
        <f t="array" ref="N62">1/INDEX($D$56:$O$67,COLUMN(N62) - COLUMN($D$56)+1,ROW(N62)-ROW($D$56)+1)</f>
        <v>0.2</v>
      </c>
      <c r="O62" s="3" cm="1">
        <f t="array" ref="O62">1/INDEX($D$56:$O$67,COLUMN(O62) - COLUMN($D$56)+1,ROW(O62)-ROW($D$56)+1)</f>
        <v>0.5</v>
      </c>
    </row>
    <row r="63" spans="3:15" x14ac:dyDescent="0.25">
      <c r="C63" s="5">
        <f t="shared" si="10"/>
        <v>15</v>
      </c>
      <c r="D63" s="4">
        <v>4</v>
      </c>
      <c r="E63" s="4">
        <v>7</v>
      </c>
      <c r="F63" s="4">
        <v>6</v>
      </c>
      <c r="G63" s="4">
        <v>6</v>
      </c>
      <c r="H63" s="4">
        <v>5</v>
      </c>
      <c r="I63" s="4">
        <v>6</v>
      </c>
      <c r="J63" s="4">
        <v>2</v>
      </c>
      <c r="K63" s="13">
        <v>1</v>
      </c>
      <c r="L63" s="3" cm="1">
        <f t="array" ref="L63">1/INDEX($D$56:$O$67,COLUMN(L63) - COLUMN($D$56)+1,ROW(L63)-ROW($D$56)+1)</f>
        <v>0.33333333333333331</v>
      </c>
      <c r="M63" s="3" cm="1">
        <f t="array" ref="M63">1/INDEX($D$56:$O$67,COLUMN(M63) - COLUMN($D$56)+1,ROW(M63)-ROW($D$56)+1)</f>
        <v>0.14285714285714285</v>
      </c>
      <c r="N63" s="3" cm="1">
        <f t="array" ref="N63">1/INDEX($D$56:$O$67,COLUMN(N63) - COLUMN($D$56)+1,ROW(N63)-ROW($D$56)+1)</f>
        <v>0.25</v>
      </c>
      <c r="O63" s="3" cm="1">
        <f t="array" ref="O63">1/INDEX($D$56:$O$67,COLUMN(O63) - COLUMN($D$56)+1,ROW(O63)-ROW($D$56)+1)</f>
        <v>0.5</v>
      </c>
    </row>
    <row r="64" spans="3:15" x14ac:dyDescent="0.25">
      <c r="C64" s="5">
        <f t="shared" si="10"/>
        <v>20</v>
      </c>
      <c r="D64" s="4">
        <v>5</v>
      </c>
      <c r="E64" s="4">
        <v>8</v>
      </c>
      <c r="F64" s="4">
        <v>7</v>
      </c>
      <c r="G64" s="4">
        <v>7</v>
      </c>
      <c r="H64" s="4">
        <v>7</v>
      </c>
      <c r="I64" s="4">
        <v>8</v>
      </c>
      <c r="J64" s="4">
        <v>5</v>
      </c>
      <c r="K64" s="4">
        <v>3</v>
      </c>
      <c r="L64" s="13">
        <v>1</v>
      </c>
      <c r="M64" s="3" cm="1">
        <f t="array" ref="M64">1/INDEX($D$56:$O$67,COLUMN(M64) - COLUMN($D$56)+1,ROW(M64)-ROW($D$56)+1)</f>
        <v>0.5</v>
      </c>
      <c r="N64" s="3" cm="1">
        <f t="array" ref="N64">1/INDEX($D$56:$O$67,COLUMN(N64) - COLUMN($D$56)+1,ROW(N64)-ROW($D$56)+1)</f>
        <v>0.5</v>
      </c>
      <c r="O64" s="3" cm="1">
        <f t="array" ref="O64">1/INDEX($D$56:$O$67,COLUMN(O64) - COLUMN($D$56)+1,ROW(O64)-ROW($D$56)+1)</f>
        <v>0.5</v>
      </c>
    </row>
    <row r="65" spans="3:15" x14ac:dyDescent="0.25">
      <c r="C65" s="5">
        <f t="shared" si="10"/>
        <v>25</v>
      </c>
      <c r="D65" s="4">
        <v>9</v>
      </c>
      <c r="E65" s="4">
        <v>9</v>
      </c>
      <c r="F65" s="4">
        <v>9</v>
      </c>
      <c r="G65" s="4">
        <v>9</v>
      </c>
      <c r="H65" s="4">
        <v>9</v>
      </c>
      <c r="I65" s="4">
        <v>9</v>
      </c>
      <c r="J65" s="4">
        <v>9</v>
      </c>
      <c r="K65" s="4">
        <v>7</v>
      </c>
      <c r="L65" s="4">
        <v>2</v>
      </c>
      <c r="M65" s="13">
        <v>1</v>
      </c>
      <c r="N65" s="3" cm="1">
        <f t="array" ref="N65">1/INDEX($D$56:$O$67,COLUMN(N65) - COLUMN($D$56)+1,ROW(N65)-ROW($D$56)+1)</f>
        <v>1</v>
      </c>
      <c r="O65" s="3" cm="1">
        <f t="array" ref="O65">1/INDEX($D$56:$O$67,COLUMN(O65) - COLUMN($D$56)+1,ROW(O65)-ROW($D$56)+1)</f>
        <v>0.5</v>
      </c>
    </row>
    <row r="66" spans="3:15" x14ac:dyDescent="0.25">
      <c r="C66" s="5">
        <f t="shared" si="10"/>
        <v>30</v>
      </c>
      <c r="D66" s="4">
        <v>6</v>
      </c>
      <c r="E66" s="4">
        <v>6</v>
      </c>
      <c r="F66" s="4">
        <v>5</v>
      </c>
      <c r="G66" s="4">
        <v>7</v>
      </c>
      <c r="H66" s="4">
        <v>6</v>
      </c>
      <c r="I66" s="4">
        <v>5</v>
      </c>
      <c r="J66" s="4">
        <v>5</v>
      </c>
      <c r="K66" s="4">
        <v>4</v>
      </c>
      <c r="L66" s="4">
        <v>2</v>
      </c>
      <c r="M66" s="1">
        <v>1</v>
      </c>
      <c r="N66" s="13">
        <v>1</v>
      </c>
      <c r="O66" s="3" cm="1">
        <f t="array" ref="O66">1/INDEX($D$56:$O$67,COLUMN(O66) - COLUMN($D$56)+1,ROW(O66)-ROW($D$56)+1)</f>
        <v>0.33333333333333331</v>
      </c>
    </row>
    <row r="67" spans="3:15" ht="15.75" thickBot="1" x14ac:dyDescent="0.3">
      <c r="C67" s="6">
        <f t="shared" si="10"/>
        <v>35</v>
      </c>
      <c r="D67" s="4">
        <v>3</v>
      </c>
      <c r="E67" s="4">
        <v>3</v>
      </c>
      <c r="F67" s="4">
        <v>3</v>
      </c>
      <c r="G67" s="4">
        <v>3</v>
      </c>
      <c r="H67" s="4">
        <v>2</v>
      </c>
      <c r="I67" s="4">
        <v>2</v>
      </c>
      <c r="J67" s="4">
        <v>2</v>
      </c>
      <c r="K67" s="4">
        <v>2</v>
      </c>
      <c r="L67" s="4">
        <v>2</v>
      </c>
      <c r="M67" s="4">
        <v>2</v>
      </c>
      <c r="N67" s="4">
        <v>3</v>
      </c>
      <c r="O67" s="13">
        <v>1</v>
      </c>
    </row>
    <row r="69" spans="3:15" ht="15.75" thickBot="1" x14ac:dyDescent="0.3"/>
    <row r="70" spans="3:15" ht="15.75" thickBot="1" x14ac:dyDescent="0.3">
      <c r="C70" s="14" t="s">
        <v>5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/>
    </row>
    <row r="71" spans="3:15" ht="15.75" thickBot="1" x14ac:dyDescent="0.3">
      <c r="C71" s="8"/>
      <c r="D71" s="9">
        <v>-20</v>
      </c>
      <c r="E71" s="10">
        <v>-15</v>
      </c>
      <c r="F71" s="10">
        <f>E71+5</f>
        <v>-10</v>
      </c>
      <c r="G71" s="10">
        <f t="shared" ref="G71:J71" si="11">F71+5</f>
        <v>-5</v>
      </c>
      <c r="H71" s="10">
        <f t="shared" si="11"/>
        <v>0</v>
      </c>
      <c r="I71" s="10">
        <f t="shared" si="11"/>
        <v>5</v>
      </c>
      <c r="J71" s="10">
        <f t="shared" si="11"/>
        <v>10</v>
      </c>
      <c r="K71" s="10">
        <f>J71+5</f>
        <v>15</v>
      </c>
      <c r="L71" s="10">
        <f t="shared" ref="L71:O71" si="12">K71+5</f>
        <v>20</v>
      </c>
      <c r="M71" s="10">
        <f t="shared" si="12"/>
        <v>25</v>
      </c>
      <c r="N71" s="10">
        <f t="shared" si="12"/>
        <v>30</v>
      </c>
      <c r="O71" s="11">
        <f t="shared" si="12"/>
        <v>35</v>
      </c>
    </row>
    <row r="72" spans="3:15" x14ac:dyDescent="0.25">
      <c r="C72" s="7">
        <f>-20</f>
        <v>-20</v>
      </c>
      <c r="D72" s="12">
        <v>1</v>
      </c>
      <c r="E72" s="3" cm="1">
        <f t="array" ref="E72">1/INDEX($D$72:$O$83,COLUMN(E72) - COLUMN($D$72)+1,ROW(E72)-ROW($D$72)+1)</f>
        <v>1</v>
      </c>
      <c r="F72" s="3" cm="1">
        <f t="array" ref="F72">1/INDEX($D$72:$O$83,COLUMN(F72) - COLUMN($D$72)+1,ROW(F72)-ROW($D$72)+1)</f>
        <v>1</v>
      </c>
      <c r="G72" s="3" cm="1">
        <f t="array" ref="G72">1/INDEX($D$72:$O$83,COLUMN(G72) - COLUMN($D$72)+1,ROW(G72)-ROW($D$72)+1)</f>
        <v>0.5</v>
      </c>
      <c r="H72" s="3" cm="1">
        <f t="array" ref="H72">1/INDEX($D$72:$O$83,COLUMN(H72) - COLUMN($D$72)+1,ROW(H72)-ROW($D$72)+1)</f>
        <v>0.5</v>
      </c>
      <c r="I72" s="3" cm="1">
        <f t="array" ref="I72">1/INDEX($D$72:$O$83,COLUMN(I72) - COLUMN($D$72)+1,ROW(I72)-ROW($D$72)+1)</f>
        <v>0.33333333333333331</v>
      </c>
      <c r="J72" s="3" cm="1">
        <f t="array" ref="J72">1/INDEX($D$72:$O$83,COLUMN(J72) - COLUMN($D$72)+1,ROW(J72)-ROW($D$72)+1)</f>
        <v>0.25</v>
      </c>
      <c r="K72" s="3" cm="1">
        <f t="array" ref="K72">1/INDEX($D$72:$O$83,COLUMN(K72) - COLUMN($D$72)+1,ROW(K72)-ROW($D$72)+1)</f>
        <v>0.2</v>
      </c>
      <c r="L72" s="3" cm="1">
        <f t="array" ref="L72">1/INDEX($D$72:$O$83,COLUMN(L72) - COLUMN($D$72)+1,ROW(L72)-ROW($D$72)+1)</f>
        <v>0.16666666666666666</v>
      </c>
      <c r="M72" s="3" cm="1">
        <f t="array" ref="M72">1/INDEX($D$72:$O$83,COLUMN(M72) - COLUMN($D$72)+1,ROW(M72)-ROW($D$72)+1)</f>
        <v>0.125</v>
      </c>
      <c r="N72" s="3" cm="1">
        <f t="array" ref="N72">1/INDEX($D$72:$O$83,COLUMN(N72) - COLUMN($D$72)+1,ROW(N72)-ROW($D$72)+1)</f>
        <v>0.1111111111111111</v>
      </c>
      <c r="O72" s="3" cm="1">
        <f t="array" ref="O72">1/INDEX($D$72:$O$83,COLUMN(O72) - COLUMN($D$72)+1,ROW(O72)-ROW($D$72)+1)</f>
        <v>0.1111111111111111</v>
      </c>
    </row>
    <row r="73" spans="3:15" x14ac:dyDescent="0.25">
      <c r="C73" s="5">
        <f t="shared" ref="C73:C83" si="13">C72+5</f>
        <v>-15</v>
      </c>
      <c r="D73" s="4">
        <v>1</v>
      </c>
      <c r="E73" s="13">
        <v>1</v>
      </c>
      <c r="F73" s="3" cm="1">
        <f t="array" ref="F73">1/INDEX($D$72:$O$83,COLUMN(F73) - COLUMN($D$72)+1,ROW(F73)-ROW($D$72)+1)</f>
        <v>1</v>
      </c>
      <c r="G73" s="3" cm="1">
        <f t="array" ref="G73">1/INDEX($D$72:$O$83,COLUMN(G73) - COLUMN($D$72)+1,ROW(G73)-ROW($D$72)+1)</f>
        <v>1</v>
      </c>
      <c r="H73" s="3" cm="1">
        <f t="array" ref="H73">1/INDEX($D$72:$O$83,COLUMN(H73) - COLUMN($D$72)+1,ROW(H73)-ROW($D$72)+1)</f>
        <v>0.5</v>
      </c>
      <c r="I73" s="3" cm="1">
        <f t="array" ref="I73">1/INDEX($D$72:$O$83,COLUMN(I73) - COLUMN($D$72)+1,ROW(I73)-ROW($D$72)+1)</f>
        <v>0.5</v>
      </c>
      <c r="J73" s="3" cm="1">
        <f t="array" ref="J73">1/INDEX($D$72:$O$83,COLUMN(J73) - COLUMN($D$72)+1,ROW(J73)-ROW($D$72)+1)</f>
        <v>0.25</v>
      </c>
      <c r="K73" s="3" cm="1">
        <f t="array" ref="K73">1/INDEX($D$72:$O$83,COLUMN(K73) - COLUMN($D$72)+1,ROW(K73)-ROW($D$72)+1)</f>
        <v>0.2</v>
      </c>
      <c r="L73" s="3" cm="1">
        <f t="array" ref="L73">1/INDEX($D$72:$O$83,COLUMN(L73) - COLUMN($D$72)+1,ROW(L73)-ROW($D$72)+1)</f>
        <v>0.16666666666666666</v>
      </c>
      <c r="M73" s="3" cm="1">
        <f t="array" ref="M73">1/INDEX($D$72:$O$83,COLUMN(M73) - COLUMN($D$72)+1,ROW(M73)-ROW($D$72)+1)</f>
        <v>0.125</v>
      </c>
      <c r="N73" s="3" cm="1">
        <f t="array" ref="N73">1/INDEX($D$72:$O$83,COLUMN(N73) - COLUMN($D$72)+1,ROW(N73)-ROW($D$72)+1)</f>
        <v>0.1111111111111111</v>
      </c>
      <c r="O73" s="3" cm="1">
        <f t="array" ref="O73">1/INDEX($D$72:$O$83,COLUMN(O73) - COLUMN($D$72)+1,ROW(O73)-ROW($D$72)+1)</f>
        <v>0.1111111111111111</v>
      </c>
    </row>
    <row r="74" spans="3:15" x14ac:dyDescent="0.25">
      <c r="C74" s="5">
        <f t="shared" si="13"/>
        <v>-10</v>
      </c>
      <c r="D74" s="4">
        <v>1</v>
      </c>
      <c r="E74" s="4">
        <v>1</v>
      </c>
      <c r="F74" s="13">
        <v>1</v>
      </c>
      <c r="G74" s="3" cm="1">
        <f t="array" ref="G74">1/INDEX($D$72:$O$83,COLUMN(G74) - COLUMN($D$72)+1,ROW(G74)-ROW($D$72)+1)</f>
        <v>1</v>
      </c>
      <c r="H74" s="3" cm="1">
        <f t="array" ref="H74">1/INDEX($D$72:$O$83,COLUMN(H74) - COLUMN($D$72)+1,ROW(H74)-ROW($D$72)+1)</f>
        <v>0.5</v>
      </c>
      <c r="I74" s="3" cm="1">
        <f t="array" ref="I74">1/INDEX($D$72:$O$83,COLUMN(I74) - COLUMN($D$72)+1,ROW(I74)-ROW($D$72)+1)</f>
        <v>0.33333333333333331</v>
      </c>
      <c r="J74" s="3" cm="1">
        <f t="array" ref="J74">1/INDEX($D$72:$O$83,COLUMN(J74) - COLUMN($D$72)+1,ROW(J74)-ROW($D$72)+1)</f>
        <v>0.25</v>
      </c>
      <c r="K74" s="3" cm="1">
        <f t="array" ref="K74">1/INDEX($D$72:$O$83,COLUMN(K74) - COLUMN($D$72)+1,ROW(K74)-ROW($D$72)+1)</f>
        <v>0.2</v>
      </c>
      <c r="L74" s="3" cm="1">
        <f t="array" ref="L74">1/INDEX($D$72:$O$83,COLUMN(L74) - COLUMN($D$72)+1,ROW(L74)-ROW($D$72)+1)</f>
        <v>0.14285714285714285</v>
      </c>
      <c r="M74" s="3" cm="1">
        <f t="array" ref="M74">1/INDEX($D$72:$O$83,COLUMN(M74) - COLUMN($D$72)+1,ROW(M74)-ROW($D$72)+1)</f>
        <v>0.125</v>
      </c>
      <c r="N74" s="3" cm="1">
        <f t="array" ref="N74">1/INDEX($D$72:$O$83,COLUMN(N74) - COLUMN($D$72)+1,ROW(N74)-ROW($D$72)+1)</f>
        <v>0.125</v>
      </c>
      <c r="O74" s="3" cm="1">
        <f t="array" ref="O74">1/INDEX($D$72:$O$83,COLUMN(O74) - COLUMN($D$72)+1,ROW(O74)-ROW($D$72)+1)</f>
        <v>0.1111111111111111</v>
      </c>
    </row>
    <row r="75" spans="3:15" x14ac:dyDescent="0.25">
      <c r="C75" s="5">
        <f t="shared" si="13"/>
        <v>-5</v>
      </c>
      <c r="D75" s="4">
        <v>2</v>
      </c>
      <c r="E75" s="4">
        <v>1</v>
      </c>
      <c r="F75" s="4">
        <v>1</v>
      </c>
      <c r="G75" s="13">
        <v>1</v>
      </c>
      <c r="H75" s="3" cm="1">
        <f t="array" ref="H75">1/INDEX($D$72:$O$83,COLUMN(H75) - COLUMN($D$72)+1,ROW(H75)-ROW($D$72)+1)</f>
        <v>1</v>
      </c>
      <c r="I75" s="3" cm="1">
        <f t="array" ref="I75">1/INDEX($D$72:$O$83,COLUMN(I75) - COLUMN($D$72)+1,ROW(I75)-ROW($D$72)+1)</f>
        <v>0.5</v>
      </c>
      <c r="J75" s="3" cm="1">
        <f t="array" ref="J75">1/INDEX($D$72:$O$83,COLUMN(J75) - COLUMN($D$72)+1,ROW(J75)-ROW($D$72)+1)</f>
        <v>0.5</v>
      </c>
      <c r="K75" s="3" cm="1">
        <f t="array" ref="K75">1/INDEX($D$72:$O$83,COLUMN(K75) - COLUMN($D$72)+1,ROW(K75)-ROW($D$72)+1)</f>
        <v>0.33333333333333331</v>
      </c>
      <c r="L75" s="3" cm="1">
        <f t="array" ref="L75">1/INDEX($D$72:$O$83,COLUMN(L75) - COLUMN($D$72)+1,ROW(L75)-ROW($D$72)+1)</f>
        <v>0.2</v>
      </c>
      <c r="M75" s="3" cm="1">
        <f t="array" ref="M75">1/INDEX($D$72:$O$83,COLUMN(M75) - COLUMN($D$72)+1,ROW(M75)-ROW($D$72)+1)</f>
        <v>0.14285714285714285</v>
      </c>
      <c r="N75" s="3" cm="1">
        <f t="array" ref="N75">1/INDEX($D$72:$O$83,COLUMN(N75) - COLUMN($D$72)+1,ROW(N75)-ROW($D$72)+1)</f>
        <v>0.125</v>
      </c>
      <c r="O75" s="3" cm="1">
        <f t="array" ref="O75">1/INDEX($D$72:$O$83,COLUMN(O75) - COLUMN($D$72)+1,ROW(O75)-ROW($D$72)+1)</f>
        <v>0.1111111111111111</v>
      </c>
    </row>
    <row r="76" spans="3:15" x14ac:dyDescent="0.25">
      <c r="C76" s="5">
        <f t="shared" si="13"/>
        <v>0</v>
      </c>
      <c r="D76" s="4">
        <v>2</v>
      </c>
      <c r="E76" s="4">
        <v>2</v>
      </c>
      <c r="F76" s="4">
        <v>2</v>
      </c>
      <c r="G76" s="4">
        <v>1</v>
      </c>
      <c r="H76" s="13">
        <v>1</v>
      </c>
      <c r="I76" s="3" cm="1">
        <f t="array" ref="I76">1/INDEX($D$72:$O$83,COLUMN(I76) - COLUMN($D$72)+1,ROW(I76)-ROW($D$72)+1)</f>
        <v>0.5</v>
      </c>
      <c r="J76" s="3" cm="1">
        <f t="array" ref="J76">1/INDEX($D$72:$O$83,COLUMN(J76) - COLUMN($D$72)+1,ROW(J76)-ROW($D$72)+1)</f>
        <v>0.33333333333333331</v>
      </c>
      <c r="K76" s="3" cm="1">
        <f t="array" ref="K76">1/INDEX($D$72:$O$83,COLUMN(K76) - COLUMN($D$72)+1,ROW(K76)-ROW($D$72)+1)</f>
        <v>0.2</v>
      </c>
      <c r="L76" s="3" cm="1">
        <f t="array" ref="L76">1/INDEX($D$72:$O$83,COLUMN(L76) - COLUMN($D$72)+1,ROW(L76)-ROW($D$72)+1)</f>
        <v>0.16666666666666666</v>
      </c>
      <c r="M76" s="3" cm="1">
        <f t="array" ref="M76">1/INDEX($D$72:$O$83,COLUMN(M76) - COLUMN($D$72)+1,ROW(M76)-ROW($D$72)+1)</f>
        <v>0.14285714285714285</v>
      </c>
      <c r="N76" s="3" cm="1">
        <f t="array" ref="N76">1/INDEX($D$72:$O$83,COLUMN(N76) - COLUMN($D$72)+1,ROW(N76)-ROW($D$72)+1)</f>
        <v>0.125</v>
      </c>
      <c r="O76" s="3" cm="1">
        <f t="array" ref="O76">1/INDEX($D$72:$O$83,COLUMN(O76) - COLUMN($D$72)+1,ROW(O76)-ROW($D$72)+1)</f>
        <v>0.1111111111111111</v>
      </c>
    </row>
    <row r="77" spans="3:15" x14ac:dyDescent="0.25">
      <c r="C77" s="5">
        <f t="shared" si="13"/>
        <v>5</v>
      </c>
      <c r="D77" s="4">
        <v>3</v>
      </c>
      <c r="E77" s="4">
        <v>2</v>
      </c>
      <c r="F77" s="4">
        <v>3</v>
      </c>
      <c r="G77" s="4">
        <v>2</v>
      </c>
      <c r="H77" s="4">
        <v>2</v>
      </c>
      <c r="I77" s="13">
        <v>1</v>
      </c>
      <c r="J77" s="3" cm="1">
        <f t="array" ref="J77">1/INDEX($D$72:$O$83,COLUMN(J77) - COLUMN($D$72)+1,ROW(J77)-ROW($D$72)+1)</f>
        <v>0.33333333333333331</v>
      </c>
      <c r="K77" s="3" cm="1">
        <f t="array" ref="K77">1/INDEX($D$72:$O$83,COLUMN(K77) - COLUMN($D$72)+1,ROW(K77)-ROW($D$72)+1)</f>
        <v>0.33333333333333331</v>
      </c>
      <c r="L77" s="3" cm="1">
        <f t="array" ref="L77">1/INDEX($D$72:$O$83,COLUMN(L77) - COLUMN($D$72)+1,ROW(L77)-ROW($D$72)+1)</f>
        <v>0.2</v>
      </c>
      <c r="M77" s="3" cm="1">
        <f t="array" ref="M77">1/INDEX($D$72:$O$83,COLUMN(M77) - COLUMN($D$72)+1,ROW(M77)-ROW($D$72)+1)</f>
        <v>0.16666666666666666</v>
      </c>
      <c r="N77" s="3" cm="1">
        <f t="array" ref="N77">1/INDEX($D$72:$O$83,COLUMN(N77) - COLUMN($D$72)+1,ROW(N77)-ROW($D$72)+1)</f>
        <v>0.125</v>
      </c>
      <c r="O77" s="3" cm="1">
        <f t="array" ref="O77">1/INDEX($D$72:$O$83,COLUMN(O77) - COLUMN($D$72)+1,ROW(O77)-ROW($D$72)+1)</f>
        <v>0.1111111111111111</v>
      </c>
    </row>
    <row r="78" spans="3:15" x14ac:dyDescent="0.25">
      <c r="C78" s="5">
        <f t="shared" si="13"/>
        <v>10</v>
      </c>
      <c r="D78" s="4">
        <v>4</v>
      </c>
      <c r="E78" s="4">
        <v>4</v>
      </c>
      <c r="F78" s="4">
        <v>4</v>
      </c>
      <c r="G78" s="4">
        <v>2</v>
      </c>
      <c r="H78" s="4">
        <v>3</v>
      </c>
      <c r="I78" s="4">
        <v>3</v>
      </c>
      <c r="J78" s="13">
        <v>1</v>
      </c>
      <c r="K78" s="3" cm="1">
        <f t="array" ref="K78">1/INDEX($D$72:$O$83,COLUMN(K78) - COLUMN($D$72)+1,ROW(K78)-ROW($D$72)+1)</f>
        <v>0.33333333333333331</v>
      </c>
      <c r="L78" s="3" cm="1">
        <f t="array" ref="L78">1/INDEX($D$72:$O$83,COLUMN(L78) - COLUMN($D$72)+1,ROW(L78)-ROW($D$72)+1)</f>
        <v>0.25</v>
      </c>
      <c r="M78" s="3" cm="1">
        <f t="array" ref="M78">1/INDEX($D$72:$O$83,COLUMN(M78) - COLUMN($D$72)+1,ROW(M78)-ROW($D$72)+1)</f>
        <v>0.14285714285714285</v>
      </c>
      <c r="N78" s="3" cm="1">
        <f t="array" ref="N78">1/INDEX($D$72:$O$83,COLUMN(N78) - COLUMN($D$72)+1,ROW(N78)-ROW($D$72)+1)</f>
        <v>0.125</v>
      </c>
      <c r="O78" s="3" cm="1">
        <f t="array" ref="O78">1/INDEX($D$72:$O$83,COLUMN(O78) - COLUMN($D$72)+1,ROW(O78)-ROW($D$72)+1)</f>
        <v>0.1111111111111111</v>
      </c>
    </row>
    <row r="79" spans="3:15" x14ac:dyDescent="0.25">
      <c r="C79" s="5">
        <f t="shared" si="13"/>
        <v>15</v>
      </c>
      <c r="D79" s="4">
        <v>5</v>
      </c>
      <c r="E79" s="4">
        <v>5</v>
      </c>
      <c r="F79" s="4">
        <v>5</v>
      </c>
      <c r="G79" s="4">
        <v>3</v>
      </c>
      <c r="H79" s="4">
        <v>5</v>
      </c>
      <c r="I79" s="4">
        <v>3</v>
      </c>
      <c r="J79" s="4">
        <v>3</v>
      </c>
      <c r="K79" s="13">
        <v>1</v>
      </c>
      <c r="L79" s="3" cm="1">
        <f t="array" ref="L79">1/INDEX($D$72:$O$83,COLUMN(L79) - COLUMN($D$72)+1,ROW(L79)-ROW($D$72)+1)</f>
        <v>0.33333333333333331</v>
      </c>
      <c r="M79" s="3" cm="1">
        <f t="array" ref="M79">1/INDEX($D$72:$O$83,COLUMN(M79) - COLUMN($D$72)+1,ROW(M79)-ROW($D$72)+1)</f>
        <v>0.2</v>
      </c>
      <c r="N79" s="3" cm="1">
        <f t="array" ref="N79">1/INDEX($D$72:$O$83,COLUMN(N79) - COLUMN($D$72)+1,ROW(N79)-ROW($D$72)+1)</f>
        <v>0.125</v>
      </c>
      <c r="O79" s="3" cm="1">
        <f t="array" ref="O79">1/INDEX($D$72:$O$83,COLUMN(O79) - COLUMN($D$72)+1,ROW(O79)-ROW($D$72)+1)</f>
        <v>0.14285714285714285</v>
      </c>
    </row>
    <row r="80" spans="3:15" x14ac:dyDescent="0.25">
      <c r="C80" s="5">
        <f t="shared" si="13"/>
        <v>20</v>
      </c>
      <c r="D80" s="4">
        <v>6</v>
      </c>
      <c r="E80" s="4">
        <v>6</v>
      </c>
      <c r="F80" s="4">
        <v>7</v>
      </c>
      <c r="G80" s="4">
        <v>5</v>
      </c>
      <c r="H80" s="4">
        <v>6</v>
      </c>
      <c r="I80" s="4">
        <v>5</v>
      </c>
      <c r="J80" s="4">
        <v>4</v>
      </c>
      <c r="K80" s="4">
        <v>3</v>
      </c>
      <c r="L80" s="13">
        <v>1</v>
      </c>
      <c r="M80" s="3" cm="1">
        <f t="array" ref="M80">1/INDEX($D$72:$O$83,COLUMN(M80) - COLUMN($D$72)+1,ROW(M80)-ROW($D$72)+1)</f>
        <v>0.5</v>
      </c>
      <c r="N80" s="3" cm="1">
        <f t="array" ref="N80">1/INDEX($D$72:$O$83,COLUMN(N80) - COLUMN($D$72)+1,ROW(N80)-ROW($D$72)+1)</f>
        <v>0.25</v>
      </c>
      <c r="O80" s="3" cm="1">
        <f t="array" ref="O80">1/INDEX($D$72:$O$83,COLUMN(O80) - COLUMN($D$72)+1,ROW(O80)-ROW($D$72)+1)</f>
        <v>0.2</v>
      </c>
    </row>
    <row r="81" spans="3:15" x14ac:dyDescent="0.25">
      <c r="C81" s="5">
        <f t="shared" si="13"/>
        <v>25</v>
      </c>
      <c r="D81" s="4">
        <v>8</v>
      </c>
      <c r="E81" s="4">
        <v>8</v>
      </c>
      <c r="F81" s="4">
        <v>8</v>
      </c>
      <c r="G81" s="4">
        <v>7</v>
      </c>
      <c r="H81" s="4">
        <v>7</v>
      </c>
      <c r="I81" s="4">
        <v>6</v>
      </c>
      <c r="J81" s="4">
        <v>7</v>
      </c>
      <c r="K81" s="4">
        <v>5</v>
      </c>
      <c r="L81" s="4">
        <v>2</v>
      </c>
      <c r="M81" s="13">
        <v>1</v>
      </c>
      <c r="N81" s="3" cm="1">
        <f t="array" ref="N81">1/INDEX($D$72:$O$83,COLUMN(N81) - COLUMN($D$72)+1,ROW(N81)-ROW($D$72)+1)</f>
        <v>0.5</v>
      </c>
      <c r="O81" s="3" cm="1">
        <f t="array" ref="O81">1/INDEX($D$72:$O$83,COLUMN(O81) - COLUMN($D$72)+1,ROW(O81)-ROW($D$72)+1)</f>
        <v>0.33333333333333331</v>
      </c>
    </row>
    <row r="82" spans="3:15" x14ac:dyDescent="0.25">
      <c r="C82" s="5">
        <f t="shared" si="13"/>
        <v>30</v>
      </c>
      <c r="D82" s="4">
        <v>9</v>
      </c>
      <c r="E82" s="4">
        <v>9</v>
      </c>
      <c r="F82" s="4">
        <v>8</v>
      </c>
      <c r="G82" s="4">
        <v>8</v>
      </c>
      <c r="H82" s="4">
        <v>8</v>
      </c>
      <c r="I82" s="4">
        <v>8</v>
      </c>
      <c r="J82" s="4">
        <v>8</v>
      </c>
      <c r="K82" s="4">
        <v>8</v>
      </c>
      <c r="L82" s="4">
        <v>4</v>
      </c>
      <c r="M82" s="1">
        <v>2</v>
      </c>
      <c r="N82" s="13">
        <v>1</v>
      </c>
      <c r="O82" s="3" cm="1">
        <f t="array" ref="O82">1/INDEX($D$72:$O$83,COLUMN(O82) - COLUMN($D$72)+1,ROW(O82)-ROW($D$72)+1)</f>
        <v>1</v>
      </c>
    </row>
    <row r="83" spans="3:15" ht="15.75" thickBot="1" x14ac:dyDescent="0.3">
      <c r="C83" s="6">
        <f t="shared" si="13"/>
        <v>35</v>
      </c>
      <c r="D83" s="4">
        <v>9</v>
      </c>
      <c r="E83" s="4">
        <v>9</v>
      </c>
      <c r="F83" s="4">
        <v>9</v>
      </c>
      <c r="G83" s="4">
        <v>9</v>
      </c>
      <c r="H83" s="4">
        <v>9</v>
      </c>
      <c r="I83" s="4">
        <v>9</v>
      </c>
      <c r="J83" s="4">
        <v>9</v>
      </c>
      <c r="K83" s="4">
        <v>7</v>
      </c>
      <c r="L83" s="4">
        <v>5</v>
      </c>
      <c r="M83" s="4">
        <v>3</v>
      </c>
      <c r="N83" s="4">
        <v>1</v>
      </c>
      <c r="O83" s="13">
        <v>1</v>
      </c>
    </row>
  </sheetData>
  <mergeCells count="6">
    <mergeCell ref="C70:O70"/>
    <mergeCell ref="C6:O6"/>
    <mergeCell ref="A1:F4"/>
    <mergeCell ref="C22:O22"/>
    <mergeCell ref="C38:O38"/>
    <mergeCell ref="C54:O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5_2</vt:lpstr>
      <vt:lpstr>lab6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Вова Чернов</dc:creator>
  <cp:lastModifiedBy>Вова Чернов</cp:lastModifiedBy>
  <dcterms:created xsi:type="dcterms:W3CDTF">2015-06-05T18:19:34Z</dcterms:created>
  <dcterms:modified xsi:type="dcterms:W3CDTF">2025-10-28T15:14:05Z</dcterms:modified>
</cp:coreProperties>
</file>